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노경수\Desktop\프로젝트\0918\docs\"/>
    </mc:Choice>
  </mc:AlternateContent>
  <xr:revisionPtr revIDLastSave="0" documentId="13_ncr:1_{F01E20B1-CCA0-4627-8F4E-68EE8F943AC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EADME" sheetId="1" r:id="rId1"/>
    <sheet name="동인분류_가이드" sheetId="2" r:id="rId2"/>
    <sheet name="Variable_Master" sheetId="3" r:id="rId3"/>
    <sheet name="Driver_Map" sheetId="4" r:id="rId4"/>
    <sheet name="Source_Inventory" sheetId="5" r:id="rId5"/>
    <sheet name="Selection_Log" sheetId="6" r:id="rId6"/>
    <sheet name="Research_No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E8" i="4" l="1"/>
  <c r="F8" i="4"/>
  <c r="D8" i="4"/>
  <c r="B8" i="4"/>
  <c r="C8" i="4"/>
</calcChain>
</file>

<file path=xl/sharedStrings.xml><?xml version="1.0" encoding="utf-8"?>
<sst xmlns="http://schemas.openxmlformats.org/spreadsheetml/2006/main" count="2727" uniqueCount="618">
  <si>
    <t>서울 자치구 월세 리스크 변수 통합 데이터사전</t>
  </si>
  <si>
    <t>목적</t>
  </si>
  <si>
    <t>세 명의 데이터사전을 통합하되 어떤 변수도 삭제하지 않고, 6개 동인 기준으로 1차/2차 분류한 마스터 템플릿</t>
  </si>
  <si>
    <t>총 원본 변수/자료행</t>
  </si>
  <si>
    <t>원칙</t>
  </si>
  <si>
    <t>중복·유사변수도 모두 보존</t>
  </si>
  <si>
    <t>6개 동인</t>
  </si>
  <si>
    <t>① 임차수요 압력 / ② 주택공급·재고 여건 / ③ 금융여건·상대가격 / ④ 임대시장 수급·전환 구조 / ⑤ 시장과열·단기 트리거 / ⑥ 거시경기·금융시장 여건</t>
  </si>
  <si>
    <t>분류 구조</t>
  </si>
  <si>
    <t>①~④ = 지역/구조적 취약성, ⑤ = 단기 트리거, ⑥ = 공통 거시환경</t>
  </si>
  <si>
    <t>중요</t>
  </si>
  <si>
    <t>월세가격지수 등 종속변수 후보는 삭제하지 않고 ⑤에 보존하되, 동일월 설명변수 사용 시 leakage 위험을 '높음'으로 표시</t>
  </si>
  <si>
    <t>시점관리</t>
  </si>
  <si>
    <t>reference period와 release/available date를 분리하고, 실제 예측시점에 가용했던 값만 사용</t>
  </si>
  <si>
    <t>향후 절차</t>
  </si>
  <si>
    <t>전체 변수 보존 → 공표시차/공간단위 정비 → 파생변수 생성 → OOS 검증 → 중요도/중복성 기준으로 후순위에서 선별</t>
  </si>
  <si>
    <t>동인</t>
  </si>
  <si>
    <t>구조적 위치</t>
  </si>
  <si>
    <t>핵심 질문</t>
  </si>
  <si>
    <t>주요 하위영역</t>
  </si>
  <si>
    <t>대표 예시</t>
  </si>
  <si>
    <t>분류 원칙</t>
  </si>
  <si>
    <t>① 임차수요 압력</t>
  </si>
  <si>
    <t>Local Vulnerability</t>
  </si>
  <si>
    <t>해당 지역의 임차수요가 얼마나 증가하는가?</t>
  </si>
  <si>
    <t>인구·세대·연령·이동·고용·소득</t>
  </si>
  <si>
    <t>세대수, 청년인구, 순이동, 지역 고용/소득</t>
  </si>
  <si>
    <t>지역별 수요의 기초 펀더멘털이면 ①</t>
  </si>
  <si>
    <t>② 주택공급·재고 여건</t>
  </si>
  <si>
    <t>늘어나는 수요를 주택공급이 흡수할 수 있는가?</t>
  </si>
  <si>
    <t>재고·인허가·착공·준공·미분양·임대주택</t>
  </si>
  <si>
    <t>준공, 착공, 미분양, 주택수</t>
  </si>
  <si>
    <t>물리적 주택 공급·재고면 ②</t>
  </si>
  <si>
    <t>③ 금융여건·상대가격</t>
  </si>
  <si>
    <t>주거 선택의 금융비용과 상대가격이 어떻게 변하는가?</t>
  </si>
  <si>
    <t>주담대·전세대출·매매/전세가격·전세가율·전환율</t>
  </si>
  <si>
    <t>주담대금리, 전세대출금리, 전세가율</t>
  </si>
  <si>
    <t>주택금융·매매/전세/월세 상대비용이면 ③</t>
  </si>
  <si>
    <t>④ 임대시장 수급·전환 구조</t>
  </si>
  <si>
    <t>Local Vulnerability / Transmission</t>
  </si>
  <si>
    <t>펀더멘털이 실제 임대계약 구성에 어떻게 나타나는가?</t>
  </si>
  <si>
    <t>월세비중·전세수급·월세수급·실거래 구성</t>
  </si>
  <si>
    <t>전월세 실거래, 월세수급지수</t>
  </si>
  <si>
    <t>임대계약 수급·전환·구성변화면 ④</t>
  </si>
  <si>
    <t>⑤ 시장과열·단기 트리거</t>
  </si>
  <si>
    <t>Near-term Trigger</t>
  </si>
  <si>
    <t>급등 직전 가격·거래·심리의 이상 신호가 있는가?</t>
  </si>
  <si>
    <t>가격 모멘텀·변동성·심리·거래 shock</t>
  </si>
  <si>
    <t>월세가격 모멘텀, 주택가격전망CSI</t>
  </si>
  <si>
    <t>단기 가속/충격/심리 신호면 ⑤</t>
  </si>
  <si>
    <t>⑥ 거시경기·금융시장 여건</t>
  </si>
  <si>
    <t>Common Macro State</t>
  </si>
  <si>
    <t>전 자치구에 공통인 경기·금융 국면은 어떤가?</t>
  </si>
  <si>
    <t>정책금리·시장금리·유동성·주가·경기·물가</t>
  </si>
  <si>
    <t>기준금리, KOSPI, M2, CPI, 선행지수</t>
  </si>
  <si>
    <t>전국 공통 거시·금융 변수면 ⑥</t>
  </si>
  <si>
    <t>Master ID</t>
  </si>
  <si>
    <t>수집자</t>
  </si>
  <si>
    <t>원본파일</t>
  </si>
  <si>
    <t>원본시트</t>
  </si>
  <si>
    <t>원본행</t>
  </si>
  <si>
    <t>원분류</t>
  </si>
  <si>
    <t>원ID</t>
  </si>
  <si>
    <t>변수명</t>
  </si>
  <si>
    <t>1차 동인</t>
  </si>
  <si>
    <t>2차 동인</t>
  </si>
  <si>
    <t>변수 역할</t>
  </si>
  <si>
    <t>정보유형</t>
  </si>
  <si>
    <t>예상 부호</t>
  </si>
  <si>
    <t>기대 선행성</t>
  </si>
  <si>
    <t>Leakage Risk</t>
  </si>
  <si>
    <t>권장 가공/파생변수</t>
  </si>
  <si>
    <t>수록기간</t>
  </si>
  <si>
    <t>빈도</t>
  </si>
  <si>
    <t>발표·가용 시점</t>
  </si>
  <si>
    <t>지역 범위</t>
  </si>
  <si>
    <t>서울25구</t>
  </si>
  <si>
    <t>17개시도</t>
  </si>
  <si>
    <t>출처기관</t>
  </si>
  <si>
    <t>표ID/CODE</t>
  </si>
  <si>
    <t>공식 URL</t>
  </si>
  <si>
    <t>현재 파일</t>
  </si>
  <si>
    <t>원본 주의사항</t>
  </si>
  <si>
    <t>보완 근거</t>
  </si>
  <si>
    <t>정보 보완 필요</t>
  </si>
  <si>
    <t>중복/유사 표시</t>
  </si>
  <si>
    <t>보존 여부</t>
  </si>
  <si>
    <t>초기 활용상태</t>
  </si>
  <si>
    <t>분류 비고</t>
  </si>
  <si>
    <t>분류 근거</t>
  </si>
  <si>
    <t>V001</t>
  </si>
  <si>
    <t>권태혁</t>
  </si>
  <si>
    <t>260919_데이터사전_권태혁.xlsx</t>
  </si>
  <si>
    <t>변수현황</t>
  </si>
  <si>
    <t>가격</t>
  </si>
  <si>
    <t>P1</t>
  </si>
  <si>
    <t>아파트 월세통합가격지수</t>
  </si>
  <si>
    <t>종속변수 후보 / 시차 사용 시 설명변수</t>
  </si>
  <si>
    <t>Market Signal</t>
  </si>
  <si>
    <t>+</t>
  </si>
  <si>
    <t>0~3개월(시차 사용 시)</t>
  </si>
  <si>
    <t>높음</t>
  </si>
  <si>
    <t>1M/3M/6M 변동률, z-score, 급등더미</t>
  </si>
  <si>
    <t>2015.06–2026.08</t>
  </si>
  <si>
    <t>월</t>
  </si>
  <si>
    <t>기준월 익월 15일 전후</t>
  </si>
  <si>
    <t>17개 시도·서울 25개 구</t>
  </si>
  <si>
    <t>Y</t>
  </si>
  <si>
    <t>한국부동산원 R-ONE</t>
  </si>
  <si>
    <t>A_2024_00054</t>
  </si>
  <si>
    <t>https://www.reb.or.kr/r-one/portal/stat/easyStatPage/A_2024_00054.do</t>
  </si>
  <si>
    <t>Y1~Y4 목표변수. 2011~2015.05 공식 지수는 없음 / 2015.06 시작. Y1~Y4 목표변수</t>
  </si>
  <si>
    <t>노경수 데이터사전의 동일/유사 통계</t>
  </si>
  <si>
    <t>유사/중복군_월세통합가격지수</t>
  </si>
  <si>
    <t>보존(삭제 안 함)</t>
  </si>
  <si>
    <t>후보 유지</t>
  </si>
  <si>
    <t>동일월 예측변수로 사용 금지; 종속변수 정의 또는 lagged momentum 용도</t>
  </si>
  <si>
    <t>가격·심리·거래의 단기 모멘텀 또는 급변동 직전 신호를 측정</t>
  </si>
  <si>
    <t>V002</t>
  </si>
  <si>
    <t>P2</t>
  </si>
  <si>
    <t>아파트 매매가격지수</t>
  </si>
  <si>
    <t>설명변수 후보</t>
  </si>
  <si>
    <t>Financial/Relative Price</t>
  </si>
  <si>
    <t>±</t>
  </si>
  <si>
    <t>0~12개월</t>
  </si>
  <si>
    <t>낮음</t>
  </si>
  <si>
    <t>Level, 3M/12M 변화, spread/ratio</t>
  </si>
  <si>
    <t>2011.01–2026.08</t>
  </si>
  <si>
    <t>A_2024_00045</t>
  </si>
  <si>
    <t>https://www.reb.or.kr/r-one/portal/stat/easyStatPage/A_2024_00045.do</t>
  </si>
  <si>
    <t>R-ONE 지수. 실거래 매매가격 수준과 다른 개념 / 가격 수준이 아니라 지수</t>
  </si>
  <si>
    <t>유사/중복군_매매가격지수</t>
  </si>
  <si>
    <t>매매·전세·월세 선택에 영향을 주는 주택금융비용과 상대가격을 측정</t>
  </si>
  <si>
    <t>V003</t>
  </si>
  <si>
    <t>P3</t>
  </si>
  <si>
    <t>아파트 전세가율</t>
  </si>
  <si>
    <t>2012.01–2026.08</t>
  </si>
  <si>
    <t>월간 공표; 실제 공표일 별도 관리 권장</t>
  </si>
  <si>
    <t>A_2024_00072</t>
  </si>
  <si>
    <t>https://www.reb.or.kr/r-one/portal/stat/easyStatPage/A_2024_00072.do</t>
  </si>
  <si>
    <t>매매가격 대비 전세가격 비율(%). 지역별 시작월 확인 / 매매가격 대비 전세가격 비율(%)</t>
  </si>
  <si>
    <t>R-ONE 월간 통계 특성</t>
  </si>
  <si>
    <t>V004</t>
  </si>
  <si>
    <t>P4</t>
  </si>
  <si>
    <t>아파트 전월세전환율</t>
  </si>
  <si>
    <t>2011.01–2026.07</t>
  </si>
  <si>
    <t>통상 익익월 15일(가격지수보다 1개월 추가 시차)</t>
  </si>
  <si>
    <t>A_2024_00156</t>
  </si>
  <si>
    <t>https://www.reb.or.kr/r-one/portal/stat/easyStatPage/A_2024_00156.do</t>
  </si>
  <si>
    <t>일부 지역의 시작월이 다르고 최신 발표월은 2026.07 / 시도·구 일부 시작월 다름</t>
  </si>
  <si>
    <t>노경수 데이터사전의 동일 통계</t>
  </si>
  <si>
    <t>유사/중복군_전월세전환율</t>
  </si>
  <si>
    <t>매매·전세·월세 선택에 영향을 주는 주택금융비용과 상대가격을 측정 / 보조적으로 ④ 임대시장 수급·전환 구조 성격도 존재</t>
  </si>
  <si>
    <t>V005</t>
  </si>
  <si>
    <t>P5</t>
  </si>
  <si>
    <t>아파트 월세 수급동향</t>
  </si>
  <si>
    <t>Market Structure/Flow</t>
  </si>
  <si>
    <t>0~6개월</t>
  </si>
  <si>
    <t>월세비중, 전세→월세 전환, 거래량/구성 변화, 3M 변화</t>
  </si>
  <si>
    <t>2015.07–2026.08</t>
  </si>
  <si>
    <t>17개 시도</t>
  </si>
  <si>
    <t>N</t>
  </si>
  <si>
    <t>A_2024_00078</t>
  </si>
  <si>
    <t>https://www.reb.or.kr/r-one/portal/stat/easyStatPage/A_2024_00078.do</t>
  </si>
  <si>
    <t>서울 25개 구 공식 통계표는 없음 / 시도만 제공</t>
  </si>
  <si>
    <t>실제 임대계약의 수급, 전세↔월세 전환 및 거래구성 변화를 측정</t>
  </si>
  <si>
    <t>V006</t>
  </si>
  <si>
    <t>P6</t>
  </si>
  <si>
    <t>아파트 전월세 실거래 원본</t>
  </si>
  <si>
    <t>건</t>
  </si>
  <si>
    <t>API 일 1회 갱신; 계약 신고는 체결 후 30일 이내</t>
  </si>
  <si>
    <t>서울 25개 구</t>
  </si>
  <si>
    <t>국토교통부</t>
  </si>
  <si>
    <t>RTMSDataSvcAptRent</t>
  </si>
  <si>
    <t>https://www.data.go.kr/data/15126474/openapi.do</t>
  </si>
  <si>
    <t>2011~2015.05 API와 이후 CSV. 표의 숫자는 월세 원본 행수 / 계약 신고 원본. 월세행수는 보조 집계</t>
  </si>
  <si>
    <t>국토부 실거래 API 기술문서</t>
  </si>
  <si>
    <t>V007</t>
  </si>
  <si>
    <t>P7</t>
  </si>
  <si>
    <t>아파트 매매 실거래 원본</t>
  </si>
  <si>
    <t>API/신고자료 수시 갱신; 월 집계 시 신고·정정 시차 고려</t>
  </si>
  <si>
    <t>RTMSDataSvcAptTrade</t>
  </si>
  <si>
    <t>https://www.data.go.kr/data/15126469/openapi.do</t>
  </si>
  <si>
    <t>17개 시도 원본은 아직 미수집. 원본 행수는 공식 거래량 아님 / 계약 신고 원본. 해제·정정 가능</t>
  </si>
  <si>
    <t>실거래 신고자료 특성</t>
  </si>
  <si>
    <t>매매·전세·월세 선택에 영향을 주는 주택금융비용과 상대가격을 측정 / 보조적으로 ⑤ 시장과열·단기 트리거 성격도 존재</t>
  </si>
  <si>
    <t>V008</t>
  </si>
  <si>
    <t>월세 ÷ 매매가격 비율</t>
  </si>
  <si>
    <t>미산출</t>
  </si>
  <si>
    <t>월(설계)</t>
  </si>
  <si>
    <t>파생변수: 구성 원자료 중 가장 늦은 available_date 적용</t>
  </si>
  <si>
    <t>서울 우선</t>
  </si>
  <si>
    <t>https://www.data.go.kr/data/15126474/openapi.do ; https://www.data.go.kr/data/15126469/openapi.do</t>
  </si>
  <si>
    <t>V009</t>
  </si>
  <si>
    <t>수요</t>
  </si>
  <si>
    <t>D1</t>
  </si>
  <si>
    <t>주민등록 인구</t>
  </si>
  <si>
    <t>Structural/Flow</t>
  </si>
  <si>
    <t>1~12개월</t>
  </si>
  <si>
    <t>YoY, 3M/12M 변화, 인구·세대 대비</t>
  </si>
  <si>
    <t>기준월 익월 1일 전후</t>
  </si>
  <si>
    <t>행정안전부</t>
  </si>
  <si>
    <t>주민등록인구통계</t>
  </si>
  <si>
    <t>https://jumin.mois.go.kr/statMonth.do</t>
  </si>
  <si>
    <t>행안부 월말 인구. 광주·전남 행정구역 변경 시기 확인 / 주민등록 기준, 외국인 제외</t>
  </si>
  <si>
    <t>행안부 주민등록 월말 통계</t>
  </si>
  <si>
    <t>지역별 인구·가구·이동·고용·소득 등 임차수요의 기초 펀더멘털을 측정</t>
  </si>
  <si>
    <t>V010</t>
  </si>
  <si>
    <t>D2</t>
  </si>
  <si>
    <t>주민등록 세대수</t>
  </si>
  <si>
    <t>D1과 같은 원자료에서 추출 / 주민등록 기준, 외국인 제외</t>
  </si>
  <si>
    <t>유사/중복군_주민등록세대수</t>
  </si>
  <si>
    <t>V011</t>
  </si>
  <si>
    <t>D3</t>
  </si>
  <si>
    <t>20–29세·30–39세 인구</t>
  </si>
  <si>
    <t>연령별인구현황</t>
  </si>
  <si>
    <t>https://jumin.mois.go.kr/ageStatMonth.do</t>
  </si>
  <si>
    <t>연령대 인원과 20–39세 비중(계산값)을 함께 수록 / 20대·30대와 합계 비중</t>
  </si>
  <si>
    <t>V012</t>
  </si>
  <si>
    <t>D4</t>
  </si>
  <si>
    <t>순이동자수</t>
  </si>
  <si>
    <t>통상 익월 말 전후</t>
  </si>
  <si>
    <t>KOSIS 국내인구이동통계</t>
  </si>
  <si>
    <t>101/DT_1B26001_A01</t>
  </si>
  <si>
    <t>https://kosis.kr/statHtml/statHtml.do?orgId=101&amp;tblId=DT_1B26001_A01&amp;conn_path=I2</t>
  </si>
  <si>
    <t>KOSIS 월별 시군구 이동 통계. 최신 발표월은 2026.07 / 시도·서울 구별 순이동</t>
  </si>
  <si>
    <t>KOSIS 국내인구이동 월별 통계</t>
  </si>
  <si>
    <t>V013</t>
  </si>
  <si>
    <t>D5</t>
  </si>
  <si>
    <t>고용률·취업자</t>
  </si>
  <si>
    <t>시도 2011.01~ / 구 2021H1~</t>
  </si>
  <si>
    <t>월/반기</t>
  </si>
  <si>
    <t>시도 월별: 익월 중순 / 서울 구 반기: 4월조사→8월, 10월조사→익년 2월</t>
  </si>
  <si>
    <t>시도 월별·서울 구 반기</t>
  </si>
  <si>
    <t>KOSIS 경제활동인구조사·지역별고용조사</t>
  </si>
  <si>
    <t>DT_1DA7004S / DT_1ES3A01S</t>
  </si>
  <si>
    <t>https://kosis.kr/statHtml/statHtml.do?orgId=101&amp;tblId=DT_1DA7004S&amp;conn_path=I2</t>
  </si>
  <si>
    <t>서울 구 고용은 반기표에 별도 보관. 월별로 복제하지 않음 / 시도 월별, 서울 구 반기</t>
  </si>
  <si>
    <t>노경수 데이터사전 지역별고용조사 일정</t>
  </si>
  <si>
    <t>V014</t>
  </si>
  <si>
    <t>주소지 기준 근로소득</t>
  </si>
  <si>
    <t>2016–2023 연간</t>
  </si>
  <si>
    <t>년</t>
  </si>
  <si>
    <t>연간 공표; 공표시차가 길어 available_date 별도 관리</t>
  </si>
  <si>
    <t>KOSIS 국세통계</t>
  </si>
  <si>
    <t>133/DT_133001N_4215</t>
  </si>
  <si>
    <t>https://kosis.kr/statHtml/statHtml.do?orgId=133&amp;tblId=DT_133001N_4215&amp;conn_path=I2</t>
  </si>
  <si>
    <t>연간 지역소득/국세통계 특성</t>
  </si>
  <si>
    <t>V015</t>
  </si>
  <si>
    <t>D7</t>
  </si>
  <si>
    <t>1인당 GRDP</t>
  </si>
  <si>
    <t>2011–2024 연간</t>
  </si>
  <si>
    <t>KOSIS 지역소득</t>
  </si>
  <si>
    <t>101/DT_1C96</t>
  </si>
  <si>
    <t>https://kosis.kr/statHtml/statHtml.do?orgId=101&amp;tblId=DT_1C96&amp;conn_path=I2</t>
  </si>
  <si>
    <t>지역 생산 지표. 단위 천원 / 각각 천원</t>
  </si>
  <si>
    <t>V016</t>
  </si>
  <si>
    <t>서울 구별 지역내총부가가치</t>
  </si>
  <si>
    <t>2011–2023 연간</t>
  </si>
  <si>
    <t>KOSIS 서울통계</t>
  </si>
  <si>
    <t>201/DT_201012_D040031</t>
  </si>
  <si>
    <t>https://kosis.kr/statHtml/statHtml.do?orgId=201&amp;tblId=DT_201012_D040031&amp;conn_path=I2</t>
  </si>
  <si>
    <t>V017</t>
  </si>
  <si>
    <t>D9</t>
  </si>
  <si>
    <t>1인당 가계총처분가능소득</t>
  </si>
  <si>
    <t>가계 처분가능소득. 단위 천원 / 각각 천원</t>
  </si>
  <si>
    <t>V018</t>
  </si>
  <si>
    <t>공급</t>
  </si>
  <si>
    <t>전체 주택 인허가 호수</t>
  </si>
  <si>
    <t>-</t>
  </si>
  <si>
    <t>3~36개월</t>
  </si>
  <si>
    <t>인구·세대 대비, 3M/12M 누적, 추세 대비 gap</t>
  </si>
  <si>
    <t>2011.01–2025.12</t>
  </si>
  <si>
    <t>기준월 익월 말 전후</t>
  </si>
  <si>
    <t>국토교통부 통계누리</t>
  </si>
  <si>
    <t>통계표 XLSX</t>
  </si>
  <si>
    <t>https://stat.molit.go.kr/portal/cate/statMetaView.do?hRsId=31</t>
  </si>
  <si>
    <t>국토부 월간 주택통계</t>
  </si>
  <si>
    <t>주택의 물리적 재고와 신규 공급·미분양 등 공급 흡수력을 측정</t>
  </si>
  <si>
    <t>V019</t>
  </si>
  <si>
    <t>전체 주택 착공 호수</t>
  </si>
  <si>
    <t>V020</t>
  </si>
  <si>
    <t>전체 주택 준공 호수</t>
  </si>
  <si>
    <t>V021</t>
  </si>
  <si>
    <t>S4</t>
  </si>
  <si>
    <t>아파트 인허가 호수</t>
  </si>
  <si>
    <t>KOSIS 주택건설실적통계</t>
  </si>
  <si>
    <t>116/DT_MLTM_1948</t>
  </si>
  <si>
    <t>https://kosis.kr/statHtml/statHtml.do?orgId=116&amp;tblId=DT_MLTM_1948&amp;conn_path=I2</t>
  </si>
  <si>
    <t>공식 연초누계 값을 월별 차분으로 변환. 원응답 보관 / 원자료 연초 누계, 월 차분으로 변환</t>
  </si>
  <si>
    <t>V022</t>
  </si>
  <si>
    <t>S5</t>
  </si>
  <si>
    <t>아파트 착공 호수</t>
  </si>
  <si>
    <t>116/DT_MLTM_5387</t>
  </si>
  <si>
    <t>https://kosis.kr/statHtml/statHtml.do?orgId=116&amp;tblId=DT_MLTM_5387&amp;conn_path=I2</t>
  </si>
  <si>
    <t>아파트 전용. 일부 지역·월 공란은 결측으로 유지 / 아파트 호수</t>
  </si>
  <si>
    <t>V023</t>
  </si>
  <si>
    <t>S6</t>
  </si>
  <si>
    <t>아파트 준공 호수</t>
  </si>
  <si>
    <t>116/DT_MLTM_5373</t>
  </si>
  <si>
    <t>https://kosis.kr/statHtml/statHtml.do?orgId=116&amp;tblId=DT_MLTM_5373&amp;conn_path=I2</t>
  </si>
  <si>
    <t>V024</t>
  </si>
  <si>
    <t>S7</t>
  </si>
  <si>
    <t>서울 구 주거용 신축허가</t>
  </si>
  <si>
    <t>연간 공표; 실제 공표일 별도 확인</t>
  </si>
  <si>
    <t>201/DT_201004_O090005</t>
  </si>
  <si>
    <t>https://stat.eseoul.go.kr/statHtml/statHtml.do?orgId=201&amp;tblId=DT_201004_O090005&amp;conn_path=I2</t>
  </si>
  <si>
    <t>동수·연면적(㎡). 아파트 세대수와 같지 않음 / 동수·㎡, 아파트 호수 아님</t>
  </si>
  <si>
    <t>서울통계 연간자료</t>
  </si>
  <si>
    <t>V025</t>
  </si>
  <si>
    <t>노경수</t>
  </si>
  <si>
    <t>260919_데이터사전_노경수.xlsx</t>
  </si>
  <si>
    <t>데이터목록</t>
  </si>
  <si>
    <t>주택가격</t>
  </si>
  <si>
    <t>2003-11 ~ 2026-08</t>
  </si>
  <si>
    <t>월간</t>
  </si>
  <si>
    <t>기준월 익월 15일(휴일이면 다음날)</t>
  </si>
  <si>
    <t>17개 시도 + 서울 25개 자치구(서울시 합계 포함). 세종은 2012-11부터.</t>
  </si>
  <si>
    <t>조건부</t>
  </si>
  <si>
    <t>한국부동산원</t>
  </si>
  <si>
    <t>https://www.reb.or.kr/reb/cm/cntnts/cntntsView.do?cntntsId=1033&amp;mi=10333&amp;statId=S234820263</t>
  </si>
  <si>
    <t>부동산원_가격지수_아파트.csv</t>
  </si>
  <si>
    <t>V026</t>
  </si>
  <si>
    <t>아파트 전세가격지수</t>
  </si>
  <si>
    <t>17개 시도 + 서울 25개 자치구(서울시 합계 포함). 세종은 후발 편입.</t>
  </si>
  <si>
    <t>현재 기준 2026.6=100 재기준화. 표본조사 지수이므로 개별 계약가격과 다름. 장기패널에서 세종 시작시점 차이 처리 필요.</t>
  </si>
  <si>
    <t>V027</t>
  </si>
  <si>
    <t>아파트 월세가격지수</t>
  </si>
  <si>
    <t>2010-06 ~ 2026-08</t>
  </si>
  <si>
    <t>현재 전체로는 17개 시도 + 서울 25개 자치구. 다만 지역별 시작시점 상이(수도권 2010-06, 일부 광역시 2012-05, 다수 지역 2016-01).</t>
  </si>
  <si>
    <t>https://www.reb.or.kr/reb/cm/cntnts/cntntsView.do?cntntsId=1033&amp;mi=10333&amp;statId=S234820263
https://www.reb.or.kr/reb/cm/cntnts/cntntsView.do?cntntsId=1300&amp;mi=9989</t>
  </si>
  <si>
    <t>V028</t>
  </si>
  <si>
    <t>2015-06 ~ 2026-08</t>
  </si>
  <si>
    <t>17개 시도 + 서울 25개 자치구(서울시 합계 포함).</t>
  </si>
  <si>
    <t>V029</t>
  </si>
  <si>
    <t>아파트 전월세통합지수</t>
  </si>
  <si>
    <t>17개 시도(서울 포함) 시도단위만. 서울 자치구 없음.</t>
  </si>
  <si>
    <t>V030</t>
  </si>
  <si>
    <t>아파트 지역별 전월세전환율</t>
  </si>
  <si>
    <t>2011-01 ~ 2026-07</t>
  </si>
  <si>
    <t>익익월 15일. 예: 5월 월간동향 발표 시 전환율은 4월까지 공표.</t>
  </si>
  <si>
    <t>17개 시도 + 서울 25개 자치구(서울시 합계 포함). 세종은 2012-07부터.</t>
  </si>
  <si>
    <t>https://www.stgdata.co.kr/data/15047778/fileData.do?recommendDataYn=Y
https://www.reb.or.kr/reb/cm/cntnts/cntntsView.do?cntntsId=1033&amp;mi=10333&amp;statId=S234820263</t>
  </si>
  <si>
    <t>V031</t>
  </si>
  <si>
    <t>시장수급</t>
  </si>
  <si>
    <t>아파트 매매수급동향지수</t>
  </si>
  <si>
    <t>100 대비 gap, 3M 변화, z-score</t>
  </si>
  <si>
    <t>2012-07 ~ 2026-08</t>
  </si>
  <si>
    <t>기준월 익월 15일(전국주택가격동향조사와 함께 공표)</t>
  </si>
  <si>
    <t>17개 시도(서울 포함) 시도단위만. 서울 자치구 없음. 세종은 2012-12부터.</t>
  </si>
  <si>
    <t>부동산원_수급동향_아파트.csv</t>
  </si>
  <si>
    <t>설문·표본 기반 체감 수급지수로 실제 거래량과 개념이 다름. 100 기준 해석과 조사개편 이력 확인 필요. 서울 자치구 분석에는 사용 불가.</t>
  </si>
  <si>
    <t>V032</t>
  </si>
  <si>
    <t>아파트 전세수급동향지수</t>
  </si>
  <si>
    <t>V033</t>
  </si>
  <si>
    <t>아파트 월세수급동향지수</t>
  </si>
  <si>
    <t>2015-07 ~ 2026-08</t>
  </si>
  <si>
    <t>V034</t>
  </si>
  <si>
    <t>구(舊) 수급동향 통합지수</t>
  </si>
  <si>
    <t>2010-06 ~ 2015-06</t>
  </si>
  <si>
    <t>월간(중지통계)</t>
  </si>
  <si>
    <t>현재 신규 공표 없음. 2015년 7월 월세가격동향조사가 전국주택가격동향조사에 통합되며 중지.</t>
  </si>
  <si>
    <t>8개 지역만: 서울·인천·경기·부산·대구·광주·대전·울산. 서울 자치구 없음.</t>
  </si>
  <si>
    <t>https://www.reb.or.kr/reb/cm/cntnts/cntntsView.do?cntntsId=1300&amp;mi=9989</t>
  </si>
  <si>
    <t>부동산원_수급동향구_통합.csv</t>
  </si>
  <si>
    <t>현행 수급동향과 별개 조사이며 2012~2015 기간이 겹침. 단순 이어붙이기 금지. 연구상 필요 시 구조변화 더미 또는 별도 과거 설명변수로 사용.</t>
  </si>
  <si>
    <t>V035</t>
  </si>
  <si>
    <t>거래</t>
  </si>
  <si>
    <t>행정구역별 아파트 거래현황(동·호수, 면적)</t>
  </si>
  <si>
    <t>2006-01 ~ 2026-07</t>
  </si>
  <si>
    <t>주택 거래통계는 기준월 익월 말일경 공표.</t>
  </si>
  <si>
    <t>현재 수집본: 15개 시도 + 서울 25개 자치구. 광주·전남이 통째로 누락. 서울시 합계 포함.</t>
  </si>
  <si>
    <t>https://www.reb.or.kr/reb/cm/cntnts/cntntsView.do?cntntsId=1065&amp;mi=9819</t>
  </si>
  <si>
    <t>부동산원_아파트거래현황.csv</t>
  </si>
  <si>
    <t>원 통계는 전국 시군구 공표 대상인데 현재 전처리본에서 광주·전남 누락. raw의 원 지역명(CLS_FULLNM 등)을 보존하고 지역 파싱 로직 재점검 필요. 세종 2012-07, 제주 2006-07부터.</t>
  </si>
  <si>
    <t>실제 임대계약의 수급, 전세↔월세 전환 및 거래구성 변화를 측정 / 보조적으로 ⑤ 시장과열·단기 트리거 성격도 존재</t>
  </si>
  <si>
    <t>V036</t>
  </si>
  <si>
    <t>행정구역별 아파트 매매거래현황(동·호수, 면적)</t>
  </si>
  <si>
    <t>현재 수집본 지역 누락을 먼저 수정해야 17개 시도 패널 사용 가능. 거래신고 기반이므로 취소·정정 거래 반영에 따라 과거치가 수정될 수 있음.</t>
  </si>
  <si>
    <t>V037</t>
  </si>
  <si>
    <t>심리</t>
  </si>
  <si>
    <t>주택시장 소비심리지수</t>
  </si>
  <si>
    <t>중간</t>
  </si>
  <si>
    <t>Level, 3M 변화, z-score</t>
  </si>
  <si>
    <t>2011-07 ~ 2026-07</t>
  </si>
  <si>
    <t>익월 중순. 최근 예: 2026-07분 8/18, 2026-08분 9/16 공표.</t>
  </si>
  <si>
    <t>17개 시도(서울 포함) 시도단위만. 서울 자치구 없음. 세종·제주는 2018-12부터.</t>
  </si>
  <si>
    <t>국토연구원</t>
  </si>
  <si>
    <t>https://www.krihs.re.kr/board.es?act=view&amp;bid=0054&amp;list_no=398639&amp;mid=a10109000000&amp;tag=</t>
  </si>
  <si>
    <t>부동산원_주택시장소비심리지수.csv</t>
  </si>
  <si>
    <t>설문 기반 심리지수로 가격·거래 실측치와 다름. 세종·제주 후발 편입 때문에 2018-12 이전 17개 시도 완전패널이 아님.</t>
  </si>
  <si>
    <t>가격·심리·거래의 단기 모멘텀 또는 급변동 직전 신호를 측정 / 보조적으로 ⑥ 거시경기·금융시장 여건 성격도 존재</t>
  </si>
  <si>
    <t>V038</t>
  </si>
  <si>
    <t>공급·재고</t>
  </si>
  <si>
    <t>미분양주택현황</t>
  </si>
  <si>
    <t>2007-01 ~ 2026-07</t>
  </si>
  <si>
    <t>국토교통부 월간 주택통계로 기준월 익월 말(최근 2026-07분 8/31 06:00) 공표.</t>
  </si>
  <si>
    <t>국토교통부/공공데이터포털</t>
  </si>
  <si>
    <t>https://www.molit.go.kr/USR/NEWS/m_71/dtl.jsp?id=95092360</t>
  </si>
  <si>
    <t>부동산원_미분양주택현황.csv</t>
  </si>
  <si>
    <t>현재 파일에서 광주·전남은 2026-06까지만 있고 타 지역은 2026-07까지 있어 최신월 비대칭. 월별 패널 병합 전 지역별 최신월 일치 여부 검사 필요.</t>
  </si>
  <si>
    <t>V039</t>
  </si>
  <si>
    <t>2011-01 ~ 2026-08</t>
  </si>
  <si>
    <t>매월 말일 기준, 익월 1일 12시 이후 공표(휴일이면 다음 평일).</t>
  </si>
  <si>
    <t>서울 25개 자치구 + 비서울 16개 시도. 현재 파일에는 서울시 전체 합계 행이 없음.</t>
  </si>
  <si>
    <t>https://jumin.mois.go.kr/statGrapA.do</t>
  </si>
  <si>
    <t>V040</t>
  </si>
  <si>
    <t>아파트 주택건설 인허가 실적</t>
  </si>
  <si>
    <t>17개 시도(서울 포함) 시도단위만. 서울 자치구 없음. 세종은 2012년부터.</t>
  </si>
  <si>
    <t>V041</t>
  </si>
  <si>
    <t>아파트 주택건설 착공 실적</t>
  </si>
  <si>
    <t>V042</t>
  </si>
  <si>
    <t>아파트 주택건설 준공 실적</t>
  </si>
  <si>
    <t>2010-08 ~ 2026-07</t>
  </si>
  <si>
    <t>V043</t>
  </si>
  <si>
    <t>거시금융</t>
  </si>
  <si>
    <t>한국은행 기준금리</t>
  </si>
  <si>
    <t>Level, 3M/12M 변화, z-score</t>
  </si>
  <si>
    <t>1999-05 ~ 2026-08</t>
  </si>
  <si>
    <t>정책결정 시 수시 / 현재 파일 월간</t>
  </si>
  <si>
    <t>금융통화위원회 통화정책방향 결정일 당일 즉시 공표.</t>
  </si>
  <si>
    <t>전국 단일값.</t>
  </si>
  <si>
    <t>해당없음</t>
  </si>
  <si>
    <t>한국은행</t>
  </si>
  <si>
    <t>https://www.bok.or.kr/portal/main/contents.do?menuNo=200755</t>
  </si>
  <si>
    <t>ECOS_거시경제_전국.csv</t>
  </si>
  <si>
    <t>월별 지역 차이가 없는 공통 거시변수. 월 단위 데이터셋에서는 금리 변경일 이전/이후가 한 달 값에 혼재할 수 있어 월말값 또는 월평균 중 기준을 명확히 정해야 함.</t>
  </si>
  <si>
    <t>유사/중복군_기준금리</t>
  </si>
  <si>
    <t>전 자치구에 공통으로 작용하는 경기·금리·유동성·금융시장 국면을 측정</t>
  </si>
  <si>
    <t>V044</t>
  </si>
  <si>
    <t>CD(91일) 시장금리</t>
  </si>
  <si>
    <t>1991-03 ~ 2026-08</t>
  </si>
  <si>
    <t>일별 원자료 / 현재 파일 월간</t>
  </si>
  <si>
    <t>시장금리는 일별 관측 가능. 현재 월평균 시계열은 해당 월 종료 후 확정적으로 사용 가능.</t>
  </si>
  <si>
    <t>https://www.bok.or.kr/portal/stats/statsPublictSchdul/listKnd.do?menuNo=200776</t>
  </si>
  <si>
    <t>가계의 실제 주담대·전세대출 금리와 다름. 균형월세 모형에는 예금은행 주택담보대출금리/전세대출금리 추가 검토.</t>
  </si>
  <si>
    <t>V045</t>
  </si>
  <si>
    <t>국고채 3년 시장금리</t>
  </si>
  <si>
    <t>1995-05 ~ 2026-08</t>
  </si>
  <si>
    <t>주택 임대시장 자금조달비용을 간접적으로 반영. 월평균을 쓸 경우 월말 이전 예측에는 미래정보가 포함될 수 있으므로 사용시점 통제.</t>
  </si>
  <si>
    <t>V046</t>
  </si>
  <si>
    <t>M2 통화량(평잔, 원계열)</t>
  </si>
  <si>
    <t>2003-10 ~ 2026-07</t>
  </si>
  <si>
    <t>약 1.5개월 후, 통상 익익월 중순. 예: 2026-07분은 9/15 12:00 공표.</t>
  </si>
  <si>
    <t>공표 시차가 길고 당월치는 잠정치이며 이후 수정 가능. 실시간 조기경보에서는 기준월이 아니라 실제 가용일 기준 lag 필요.</t>
  </si>
  <si>
    <t>V047</t>
  </si>
  <si>
    <t>가계신용 총액</t>
  </si>
  <si>
    <t>2002-10 ~ 2026-04</t>
  </si>
  <si>
    <t>분기</t>
  </si>
  <si>
    <t>분기 종료 후 약 1.5개월. 예: 2026년 2분기 8/19 12:00 공표.</t>
  </si>
  <si>
    <t>분기 저빈도·전국 단일값. 현재 CSV의 연월은 Q1=01, Q2=04 등 분기 시작월로 저장되어 공표시점과 불일치. 전처리에서 기준분기와 available_date를 분리하고 공표 전 월에 forward-fill 금지.</t>
  </si>
  <si>
    <t>V048</t>
  </si>
  <si>
    <t>거시물가</t>
  </si>
  <si>
    <t>소비자물가지수 총지수</t>
  </si>
  <si>
    <t>1990-01 ~ 2026-08</t>
  </si>
  <si>
    <t>익월 초(통상 첫 주 08:00). 예: 2026-07분은 8/4 공표.</t>
  </si>
  <si>
    <t>https://www.kostat.go.kr/newsPln.es?mid=a10305000000&amp;oa_mm=08</t>
  </si>
  <si>
    <t>총지수는 임대료·주거비를 직접 나타내지 않음. 균형월세 분석에는 집세/주거비 관련 CPI 세부지수 추가 검토. 최근월은 잠정·개편 가능성 점검.</t>
  </si>
  <si>
    <t>V049</t>
  </si>
  <si>
    <t>거시노동</t>
  </si>
  <si>
    <t>시간당 명목임금지수(비농전산업)</t>
  </si>
  <si>
    <t>2011-01 ~ 2026-01</t>
  </si>
  <si>
    <t>원출처(한국생산성본부) 공표 후 ECOS 반영. 고정 공표일은 현재 확인자료로 특정하지 않음.</t>
  </si>
  <si>
    <t>지역 소득을 반영하지 못하고 분기 빈도. 현재 CSV 연월이 분기 시작월(Q1=01 등)로 저장되어 있어 look-ahead 위험. 실제 공표일/available_date를 별도 관리하고 지역소득·임금 대체변수 보완 검토.</t>
  </si>
  <si>
    <t>V050</t>
  </si>
  <si>
    <t>지역별 주택관련대출(예금은행)</t>
  </si>
  <si>
    <t>Housing Finance</t>
  </si>
  <si>
    <t>2006-12 ~ 2026-06</t>
  </si>
  <si>
    <t>통상 기준월 후 약 2개월 시차로 지역금융통계/ECOS에 반영(지역별 세부 일정 차이 가능).</t>
  </si>
  <si>
    <t>17개 시도(서울 포함) 시도단위만. 서울 자치구 없음. 세종은 2012-09부터.</t>
  </si>
  <si>
    <t>https://www.bok.or.kr/portal/main/contents.do?menuNo=200672</t>
  </si>
  <si>
    <t>ECOS_지역별_주택관련대출.csv</t>
  </si>
  <si>
    <t>예금은행 주택관련대출만 포함하여 비은행·정책금융 등을 포괄하지 않음. 지역별 공표 시차가 있어 실제 available_date 확보 권장.</t>
  </si>
  <si>
    <t>매매·전세·월세 선택에 영향을 주는 주택금융비용과 상대가격을 측정 / 보조적으로 ⑥ 거시경기·금융시장 여건 성격도 존재</t>
  </si>
  <si>
    <t>V051</t>
  </si>
  <si>
    <t>지역별고용조사 기본지표(15세이상인구·경제활동인구·취업자·실업자·비경제활동인구·경제활동참가율·실업률·고용률)</t>
  </si>
  <si>
    <t>2008-01 ~ 2026-01</t>
  </si>
  <si>
    <t>2008~2010 연간 / 2011~2012 분기 / 2013~ 반기</t>
  </si>
  <si>
    <t>현재 반기체계: 4월 조사 주요고용지표는 8월, 10월 조사는 익년 2월 공표. 과거 연·분기 체계는 당시 일정 상이.</t>
  </si>
  <si>
    <t>세종 제외. 2008~2012 16개 시도; 2013~2020 9개 도 중심; 2021~ 16개 시도 합계 + 서울 25개 자치구.</t>
  </si>
  <si>
    <t>https://www.kostat.go.kr/boardDownload.es?bid=12030&amp;list_no=428812&amp;seq=1</t>
  </si>
  <si>
    <t>V052</t>
  </si>
  <si>
    <t>박준우</t>
  </si>
  <si>
    <t>260919_데이터사전_박준우.xlsx</t>
  </si>
  <si>
    <t>Sheet1</t>
  </si>
  <si>
    <t>일</t>
  </si>
  <si>
    <t>즉시</t>
  </si>
  <si>
    <t>전국 단일값 또는 전국 표본(공통 거시변수)</t>
  </si>
  <si>
    <t>N(공통값)</t>
  </si>
  <si>
    <t>https://ecos.bok.or.kr/</t>
  </si>
  <si>
    <t>변수 성격상 전국 공통</t>
  </si>
  <si>
    <t>V053</t>
  </si>
  <si>
    <t>CD 91일</t>
  </si>
  <si>
    <t>V054</t>
  </si>
  <si>
    <t>국고채 5년</t>
  </si>
  <si>
    <t>V055</t>
  </si>
  <si>
    <t>은행대출금리</t>
  </si>
  <si>
    <t>익월 말</t>
  </si>
  <si>
    <t>V056</t>
  </si>
  <si>
    <t>은행대출금리_주택담보대출(신규취급액)</t>
  </si>
  <si>
    <t>V057</t>
  </si>
  <si>
    <t>은행대출금리_전세자금(신규취급액)</t>
  </si>
  <si>
    <t>V058</t>
  </si>
  <si>
    <t>비은행대출금리_가계자금대출</t>
  </si>
  <si>
    <t>BEDBMC04</t>
  </si>
  <si>
    <t>V059</t>
  </si>
  <si>
    <t>비은행대출금리_주택담보대출</t>
  </si>
  <si>
    <t>BEDBMC41</t>
  </si>
  <si>
    <t>V060</t>
  </si>
  <si>
    <t>대출행태서베이(대출태도)_은행_가계(주택)</t>
  </si>
  <si>
    <t>분기 첫 월</t>
  </si>
  <si>
    <t>V061</t>
  </si>
  <si>
    <t>소비자동향조사_주택가격전망CSI_서울</t>
  </si>
  <si>
    <t>월말</t>
  </si>
  <si>
    <t>서울 권역</t>
  </si>
  <si>
    <t>N(서울 공통)</t>
  </si>
  <si>
    <t>지표명 기준</t>
  </si>
  <si>
    <t>V062</t>
  </si>
  <si>
    <t>소비자동향조사_주택가격전망CSI_6대광역시</t>
  </si>
  <si>
    <t>6대 광역시 권역</t>
  </si>
  <si>
    <t>V063</t>
  </si>
  <si>
    <t>소비자동향조사_주택가격전망CSI_기타도시</t>
  </si>
  <si>
    <t>기타 도시 권역</t>
  </si>
  <si>
    <t>V064</t>
  </si>
  <si>
    <t>KOSPI_종가</t>
  </si>
  <si>
    <t>V065</t>
  </si>
  <si>
    <t>KOSPI_평균</t>
  </si>
  <si>
    <t>V066</t>
  </si>
  <si>
    <t>사업체노동력조사 - 산업/규모별 임금 및 근로시간</t>
  </si>
  <si>
    <t>3개월 후</t>
  </si>
  <si>
    <t>V067</t>
  </si>
  <si>
    <t>선행지수 순환변동치</t>
  </si>
  <si>
    <t>KOSIS/해당 작성기관</t>
  </si>
  <si>
    <t>https://kosis.kr/</t>
  </si>
  <si>
    <t>V068</t>
  </si>
  <si>
    <t>가계신용 - 가계대출</t>
  </si>
  <si>
    <t>V069</t>
  </si>
  <si>
    <t>예금취급기관 가계대출(용도별) 전체대출/주택관련대출</t>
  </si>
  <si>
    <t>익익월</t>
  </si>
  <si>
    <t>전국 또는 시도단위 여부 원표 확인 필요</t>
  </si>
  <si>
    <t>원표 지역단위 추가 확인 필요</t>
  </si>
  <si>
    <t>V070</t>
  </si>
  <si>
    <t>수출입 동향 - 수출</t>
  </si>
  <si>
    <t>익월 초</t>
  </si>
  <si>
    <t>e-나라지표/관계부처</t>
  </si>
  <si>
    <t>https://index.go.kr</t>
  </si>
  <si>
    <t>V071</t>
  </si>
  <si>
    <t>주택금융공사 및 주택도시기금의 정책대출</t>
  </si>
  <si>
    <t>V072</t>
  </si>
  <si>
    <t>참고</t>
  </si>
  <si>
    <t>서울시 및 구별 가구 및 주택 수</t>
  </si>
  <si>
    <t>Structural</t>
  </si>
  <si>
    <t>구조적</t>
  </si>
  <si>
    <t>주택수/가구수, 가구증가율, 재고증가율</t>
  </si>
  <si>
    <t>연간</t>
  </si>
  <si>
    <t>익년 8월</t>
  </si>
  <si>
    <t>서울시 및 25개 자치구</t>
  </si>
  <si>
    <t>인구 - 인구부문 - 총조사인구(2015년 이후) - 전수부문 - 전수 기본표 - 인구, 가구 및 주택 – 읍면동(연도 끝자리 0, 5), 시군구(그 외 연도)</t>
  </si>
  <si>
    <t>지표명/참고 설명 기준</t>
  </si>
  <si>
    <t>주택의 물리적 재고와 신규 공급·미분양 등 공급 흡수력을 측정 / 보조적으로 ① 임차수요 압력 성격도 존재</t>
  </si>
  <si>
    <t>V073</t>
  </si>
  <si>
    <t>행정구역(시군구)별 주민등록세대수</t>
  </si>
  <si>
    <t>전국 시군구(서울 25개 자치구 포함)</t>
  </si>
  <si>
    <t>V074</t>
  </si>
  <si>
    <t>가구당 월평균 가계수지 (도시, 2인인상) (명목) - 소득</t>
  </si>
  <si>
    <t>익익월말</t>
  </si>
  <si>
    <t>소득/소비/자산 - 가계동향조사</t>
  </si>
  <si>
    <t>유사/중복군_가구당월평균가계수지도시2인인상명목</t>
  </si>
  <si>
    <t>전 자치구에 공통으로 작용하는 경기·금리·유동성·금융시장 국면을 측정 / 보조적으로 ① 임차수요 압력 성격도 존재</t>
  </si>
  <si>
    <t>V075</t>
  </si>
  <si>
    <t>V076</t>
  </si>
  <si>
    <t>임대주택공급현황</t>
  </si>
  <si>
    <t>2020~2024</t>
  </si>
  <si>
    <t>익년 10월</t>
  </si>
  <si>
    <t>지역단위 원표 확인 필요</t>
  </si>
  <si>
    <t>국토교통부/KOSIS</t>
  </si>
  <si>
    <t>https://kosis.kr/civilComplaint/qnaDetail.do?boardIdx=21575</t>
  </si>
  <si>
    <t>KOSIS 공식 Q&amp;A에서 임대주택통계 작성·공표 체계 확인</t>
  </si>
  <si>
    <t>V077</t>
  </si>
  <si>
    <t>임대주택건설공급현황</t>
  </si>
  <si>
    <t>2012~2019</t>
  </si>
  <si>
    <t>KOSIS 공식 Q&amp;A에서 2012~2019 임대주택건설공급현황 및 2020년 이후 분류체계 변경 확인</t>
  </si>
  <si>
    <t>전체 변수 수</t>
  </si>
  <si>
    <t>고 Leakage</t>
  </si>
  <si>
    <t>설명</t>
  </si>
  <si>
    <t>합계</t>
  </si>
  <si>
    <t>모든 원본 변수/자료행을 보존</t>
  </si>
  <si>
    <t>URL</t>
  </si>
  <si>
    <t>현재 상태</t>
  </si>
  <si>
    <t>향후 검토 항목</t>
  </si>
  <si>
    <t>최종 판단</t>
  </si>
  <si>
    <t>판단 사유</t>
  </si>
  <si>
    <t>보존</t>
  </si>
  <si>
    <t>중복성, 시점/누출</t>
  </si>
  <si>
    <t>미정</t>
  </si>
  <si>
    <t>중복성</t>
  </si>
  <si>
    <t>기본 검토</t>
  </si>
  <si>
    <t>자치구 미지원</t>
  </si>
  <si>
    <t>시점/누출</t>
  </si>
  <si>
    <t>중복성, 자치구 미지원</t>
  </si>
  <si>
    <t>저빈도/시차, 자치구 미지원</t>
  </si>
  <si>
    <t>저빈도/시차</t>
  </si>
  <si>
    <t>중복성, 저빈도/시차, 자치구 미지원</t>
  </si>
  <si>
    <t>항목</t>
  </si>
  <si>
    <t>보완 내용</t>
  </si>
  <si>
    <t>근거 URL</t>
  </si>
  <si>
    <t>임대주택공급현황 / 임대주택건설공급현황</t>
  </si>
  <si>
    <t>KOSIS 공식 Q&amp;A에 따르면 임대주택통계는 국토교통부가 시·도 및 공공기관 자료를 취합·공표하며, 2012~2019와 2020년 이후는 법령 개정 등에 따라 세부 분류기준이 달라짐. 변수는 삭제하지 않고 구조변화 관리 필요.</t>
  </si>
  <si>
    <t>실시간 조기경보 공통 원칙</t>
  </si>
  <si>
    <t>기준기간(reference period)과 실제 발표/가용시점(available date)을 분리해 관리. 저빈도 자료를 월별로 확장할 경우 발표 이전 월에는 값을 채우지 않음.</t>
  </si>
  <si>
    <t>프로젝트 내 데이터사전 및 한국은행 조기경보 연구 원칙</t>
  </si>
  <si>
    <t>삭제</t>
    <phoneticPr fontId="5" type="noConversion"/>
  </si>
  <si>
    <t>추가</t>
    <phoneticPr fontId="5" type="noConversion"/>
  </si>
  <si>
    <r>
      <rPr>
        <sz val="11"/>
        <rFont val="돋움"/>
        <family val="3"/>
        <charset val="129"/>
      </rPr>
      <t>세금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데이터</t>
    </r>
    <r>
      <rPr>
        <sz val="11"/>
        <rFont val="Carlito"/>
      </rPr>
      <t xml:space="preserve"> (</t>
    </r>
    <r>
      <rPr>
        <sz val="11"/>
        <rFont val="돋움"/>
        <family val="3"/>
        <charset val="129"/>
      </rPr>
      <t>보유세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Carlito"/>
      </rPr>
      <t>)</t>
    </r>
    <phoneticPr fontId="5" type="noConversion"/>
  </si>
  <si>
    <r>
      <rPr>
        <sz val="11"/>
        <rFont val="돋움"/>
        <family val="3"/>
        <charset val="129"/>
      </rPr>
      <t>월세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비중</t>
    </r>
    <r>
      <rPr>
        <sz val="11"/>
        <rFont val="Carlito"/>
      </rPr>
      <t xml:space="preserve"> (</t>
    </r>
    <r>
      <rPr>
        <sz val="11"/>
        <rFont val="돋움"/>
        <family val="3"/>
        <charset val="129"/>
      </rPr>
      <t>전세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대비</t>
    </r>
    <r>
      <rPr>
        <sz val="11"/>
        <rFont val="Carlito"/>
      </rPr>
      <t xml:space="preserve">? </t>
    </r>
    <r>
      <rPr>
        <sz val="11"/>
        <rFont val="돋움"/>
        <family val="3"/>
        <charset val="129"/>
      </rPr>
      <t>거래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대비</t>
    </r>
    <r>
      <rPr>
        <sz val="11"/>
        <rFont val="Carlito"/>
      </rPr>
      <t>?)</t>
    </r>
    <phoneticPr fontId="5" type="noConversion"/>
  </si>
  <si>
    <r>
      <rPr>
        <sz val="11"/>
        <rFont val="돋움"/>
        <family val="3"/>
        <charset val="129"/>
      </rPr>
      <t>정책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변화</t>
    </r>
    <r>
      <rPr>
        <sz val="11"/>
        <rFont val="Carlito"/>
      </rPr>
      <t xml:space="preserve">… </t>
    </r>
    <r>
      <rPr>
        <sz val="11"/>
        <rFont val="돋움"/>
        <family val="3"/>
        <charset val="129"/>
      </rPr>
      <t>더미변수</t>
    </r>
    <r>
      <rPr>
        <sz val="11"/>
        <rFont val="Carlito"/>
      </rPr>
      <t>..</t>
    </r>
    <phoneticPr fontId="5" type="noConversion"/>
  </si>
  <si>
    <r>
      <rPr>
        <sz val="11"/>
        <rFont val="돋움"/>
        <family val="3"/>
        <charset val="129"/>
      </rPr>
      <t>거시건전성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정책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지수</t>
    </r>
    <r>
      <rPr>
        <sz val="11"/>
        <rFont val="Carlito"/>
      </rPr>
      <t>//???</t>
    </r>
    <phoneticPr fontId="5" type="noConversion"/>
  </si>
  <si>
    <t>추가검토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</si>
</sst>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돋움"/>
      <family val="3"/>
      <charset val="129"/>
    </font>
    <font>
      <sz val="11"/>
      <name val="돋움"/>
      <family val="3"/>
      <charset val="129"/>
    </font>
    <font>
      <sz val="11"/>
      <name val="Carlito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wrapText="1"/>
    </xf>
    <xf numFmtId="0" fontId="6" fillId="2" borderId="0" xfId="1" applyFont="1" applyFill="1" applyAlignment="1">
      <alignment horizontal="center" vertical="center" wrapText="1"/>
    </xf>
    <xf numFmtId="0" fontId="7" fillId="0" borderId="0" xfId="1" applyFont="1" applyAlignment="1">
      <alignment wrapText="1"/>
    </xf>
    <xf numFmtId="0" fontId="0" fillId="0" borderId="0" xfId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1" applyNumberFormat="1" applyFont="1" applyAlignment="1">
      <alignment wrapText="1"/>
    </xf>
    <xf numFmtId="0" fontId="7" fillId="0" borderId="0" xfId="0" applyFont="1"/>
    <xf numFmtId="0" fontId="8" fillId="0" borderId="0" xfId="0" applyFont="1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8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en-US" altLang="ko-KR"/>
              <a:t>6</a:t>
            </a:r>
            <a:r>
              <a:rPr lang="ko-KR" altLang="en-US"/>
              <a:t>개 동인별 변수 수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전체 변수 수</c:v>
          </c:tx>
          <c:invertIfNegative val="1"/>
          <c:cat>
            <c:strRef>
              <c:f>Driver_Map!$A$2:$A$7</c:f>
              <c:strCache>
                <c:ptCount val="6"/>
                <c:pt idx="0">
                  <c:v>① 임차수요 압력</c:v>
                </c:pt>
                <c:pt idx="1">
                  <c:v>② 주택공급·재고 여건</c:v>
                </c:pt>
                <c:pt idx="2">
                  <c:v>③ 금융여건·상대가격</c:v>
                </c:pt>
                <c:pt idx="3">
                  <c:v>④ 임대시장 수급·전환 구조</c:v>
                </c:pt>
                <c:pt idx="4">
                  <c:v>⑤ 시장과열·단기 트리거</c:v>
                </c:pt>
                <c:pt idx="5">
                  <c:v>⑥ 거시경기·금융시장 여건</c:v>
                </c:pt>
              </c:strCache>
            </c:strRef>
          </c:cat>
          <c:val>
            <c:numRef>
              <c:f>Driver_Map!$B$2:$B$7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14</c:v>
                </c:pt>
                <c:pt idx="3">
                  <c:v>6</c:v>
                </c:pt>
                <c:pt idx="4">
                  <c:v>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3-49EB-A9EE-178ECCAFE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MasterTable" displayName="VariableMasterTable" ref="A1:AI58" totalsRowShown="0">
  <autoFilter ref="A1:AI58" xr:uid="{1EDB6443-ADB3-46CC-8659-8CFB50907B83}"/>
  <sortState xmlns:xlrd2="http://schemas.microsoft.com/office/spreadsheetml/2017/richdata2" ref="A2:AI58">
    <sortCondition ref="I1:I58"/>
  </sortState>
  <tableColumns count="35">
    <tableColumn id="1" xr3:uid="{00000000-0010-0000-0000-000001000000}" name="Master ID"/>
    <tableColumn id="2" xr3:uid="{00000000-0010-0000-0000-000002000000}" name="수집자"/>
    <tableColumn id="3" xr3:uid="{00000000-0010-0000-0000-000003000000}" name="원본파일"/>
    <tableColumn id="4" xr3:uid="{00000000-0010-0000-0000-000004000000}" name="원본시트"/>
    <tableColumn id="5" xr3:uid="{00000000-0010-0000-0000-000005000000}" name="원본행"/>
    <tableColumn id="6" xr3:uid="{00000000-0010-0000-0000-000006000000}" name="원분류"/>
    <tableColumn id="7" xr3:uid="{00000000-0010-0000-0000-000007000000}" name="원ID"/>
    <tableColumn id="8" xr3:uid="{00000000-0010-0000-0000-000008000000}" name="변수명"/>
    <tableColumn id="9" xr3:uid="{00000000-0010-0000-0000-000009000000}" name="1차 동인"/>
    <tableColumn id="10" xr3:uid="{00000000-0010-0000-0000-00000A000000}" name="2차 동인"/>
    <tableColumn id="11" xr3:uid="{00000000-0010-0000-0000-00000B000000}" name="변수 역할"/>
    <tableColumn id="12" xr3:uid="{00000000-0010-0000-0000-00000C000000}" name="정보유형"/>
    <tableColumn id="13" xr3:uid="{00000000-0010-0000-0000-00000D000000}" name="예상 부호"/>
    <tableColumn id="14" xr3:uid="{00000000-0010-0000-0000-00000E000000}" name="기대 선행성"/>
    <tableColumn id="15" xr3:uid="{00000000-0010-0000-0000-00000F000000}" name="Leakage Risk"/>
    <tableColumn id="16" xr3:uid="{00000000-0010-0000-0000-000010000000}" name="권장 가공/파생변수"/>
    <tableColumn id="35" xr3:uid="{BCE22CB6-BB73-45DD-8C20-EE8BD29178A4}" name="삭제" dataDxfId="7" dataCellStyle="Normal"/>
    <tableColumn id="17" xr3:uid="{00000000-0010-0000-0000-000011000000}" name="수록기간"/>
    <tableColumn id="18" xr3:uid="{00000000-0010-0000-0000-000012000000}" name="빈도"/>
    <tableColumn id="19" xr3:uid="{00000000-0010-0000-0000-000013000000}" name="발표·가용 시점"/>
    <tableColumn id="20" xr3:uid="{00000000-0010-0000-0000-000014000000}" name="지역 범위"/>
    <tableColumn id="21" xr3:uid="{00000000-0010-0000-0000-000015000000}" name="서울25구"/>
    <tableColumn id="22" xr3:uid="{00000000-0010-0000-0000-000016000000}" name="17개시도"/>
    <tableColumn id="23" xr3:uid="{00000000-0010-0000-0000-000017000000}" name="출처기관"/>
    <tableColumn id="24" xr3:uid="{00000000-0010-0000-0000-000018000000}" name="표ID/CODE"/>
    <tableColumn id="25" xr3:uid="{00000000-0010-0000-0000-000019000000}" name="공식 URL"/>
    <tableColumn id="26" xr3:uid="{00000000-0010-0000-0000-00001A000000}" name="현재 파일"/>
    <tableColumn id="27" xr3:uid="{00000000-0010-0000-0000-00001B000000}" name="원본 주의사항"/>
    <tableColumn id="28" xr3:uid="{00000000-0010-0000-0000-00001C000000}" name="보완 근거"/>
    <tableColumn id="29" xr3:uid="{00000000-0010-0000-0000-00001D000000}" name="정보 보완 필요"/>
    <tableColumn id="30" xr3:uid="{00000000-0010-0000-0000-00001E000000}" name="중복/유사 표시"/>
    <tableColumn id="31" xr3:uid="{00000000-0010-0000-0000-00001F000000}" name="보존 여부"/>
    <tableColumn id="32" xr3:uid="{00000000-0010-0000-0000-000020000000}" name="초기 활용상태"/>
    <tableColumn id="33" xr3:uid="{00000000-0010-0000-0000-000021000000}" name="분류 비고"/>
    <tableColumn id="34" xr3:uid="{00000000-0010-0000-0000-000022000000}" name="분류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InventoryTable" displayName="SourceInventoryTable" ref="A1:J78" totalsRowShown="0">
  <tableColumns count="10">
    <tableColumn id="1" xr3:uid="{00000000-0010-0000-0100-000001000000}" name="수집자"/>
    <tableColumn id="2" xr3:uid="{00000000-0010-0000-0100-000002000000}" name="원본파일"/>
    <tableColumn id="3" xr3:uid="{00000000-0010-0000-0100-000003000000}" name="변수명"/>
    <tableColumn id="4" xr3:uid="{00000000-0010-0000-0100-000004000000}" name="출처기관"/>
    <tableColumn id="5" xr3:uid="{00000000-0010-0000-0100-000005000000}" name="표ID/CODE"/>
    <tableColumn id="6" xr3:uid="{00000000-0010-0000-0100-000006000000}" name="URL"/>
    <tableColumn id="7" xr3:uid="{00000000-0010-0000-0100-000007000000}" name="빈도"/>
    <tableColumn id="8" xr3:uid="{00000000-0010-0000-0100-000008000000}" name="발표·가용 시점"/>
    <tableColumn id="9" xr3:uid="{00000000-0010-0000-0100-000009000000}" name="지역 범위"/>
    <tableColumn id="10" xr3:uid="{00000000-0010-0000-0100-00000A000000}" name="수록기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lectionLogTable" displayName="SelectionLogTable" ref="A1:I78" totalsRowShown="0">
  <tableColumns count="9">
    <tableColumn id="1" xr3:uid="{00000000-0010-0000-0200-000001000000}" name="Master ID"/>
    <tableColumn id="2" xr3:uid="{00000000-0010-0000-0200-000002000000}" name="변수명"/>
    <tableColumn id="3" xr3:uid="{00000000-0010-0000-0200-000003000000}" name="1차 동인"/>
    <tableColumn id="4" xr3:uid="{00000000-0010-0000-0200-000004000000}" name="중복/유사 표시"/>
    <tableColumn id="5" xr3:uid="{00000000-0010-0000-0200-000005000000}" name="Leakage Risk"/>
    <tableColumn id="6" xr3:uid="{00000000-0010-0000-0200-000006000000}" name="현재 상태"/>
    <tableColumn id="7" xr3:uid="{00000000-0010-0000-0200-000007000000}" name="향후 검토 항목"/>
    <tableColumn id="8" xr3:uid="{00000000-0010-0000-0200-000008000000}" name="최종 판단"/>
    <tableColumn id="9" xr3:uid="{00000000-0010-0000-0200-000009000000}" name="판단 사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8" sqref="B8"/>
    </sheetView>
  </sheetViews>
  <sheetFormatPr defaultRowHeight="13.5"/>
  <cols>
    <col min="1" max="1" width="18" customWidth="1"/>
    <col min="2" max="2" width="55" customWidth="1"/>
    <col min="3" max="3" width="16" customWidth="1"/>
    <col min="4" max="4" width="40" customWidth="1"/>
  </cols>
  <sheetData>
    <row r="1" spans="1:4" ht="20.65">
      <c r="A1" s="13" t="s">
        <v>0</v>
      </c>
      <c r="B1" s="13"/>
      <c r="C1" s="13"/>
      <c r="D1" s="13"/>
    </row>
    <row r="2" spans="1:4" ht="27.4">
      <c r="A2" s="1" t="s">
        <v>1</v>
      </c>
      <c r="B2" s="2" t="s">
        <v>2</v>
      </c>
      <c r="C2" s="2"/>
      <c r="D2" s="2"/>
    </row>
    <row r="3" spans="1:4" ht="13.9">
      <c r="A3" s="1" t="s">
        <v>3</v>
      </c>
      <c r="B3" s="2">
        <v>77</v>
      </c>
      <c r="C3" s="2" t="s">
        <v>4</v>
      </c>
      <c r="D3" s="2" t="s">
        <v>5</v>
      </c>
    </row>
    <row r="4" spans="1:4" ht="40.9">
      <c r="A4" s="1" t="s">
        <v>6</v>
      </c>
      <c r="B4" s="2" t="s">
        <v>7</v>
      </c>
      <c r="C4" s="2"/>
      <c r="D4" s="2"/>
    </row>
    <row r="5" spans="1:4" ht="13.9">
      <c r="A5" s="1" t="s">
        <v>8</v>
      </c>
      <c r="B5" s="2" t="s">
        <v>9</v>
      </c>
      <c r="C5" s="2"/>
      <c r="D5" s="2"/>
    </row>
    <row r="6" spans="1:4" ht="27.4">
      <c r="A6" s="1" t="s">
        <v>10</v>
      </c>
      <c r="B6" s="2" t="s">
        <v>11</v>
      </c>
      <c r="C6" s="2"/>
      <c r="D6" s="2"/>
    </row>
    <row r="7" spans="1:4" ht="27.4">
      <c r="A7" s="1" t="s">
        <v>12</v>
      </c>
      <c r="B7" s="2" t="s">
        <v>13</v>
      </c>
      <c r="C7" s="2"/>
      <c r="D7" s="2"/>
    </row>
    <row r="8" spans="1:4" ht="27.4">
      <c r="A8" s="1" t="s">
        <v>14</v>
      </c>
      <c r="B8" s="2" t="s">
        <v>15</v>
      </c>
      <c r="C8" s="2"/>
      <c r="D8" s="2"/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3.5"/>
  <cols>
    <col min="1" max="1" width="28" customWidth="1"/>
    <col min="2" max="2" width="24" customWidth="1"/>
    <col min="3" max="4" width="34" customWidth="1"/>
    <col min="5" max="5" width="36" customWidth="1"/>
    <col min="6" max="6" width="34" customWidth="1"/>
  </cols>
  <sheetData>
    <row r="1" spans="1:6" ht="13.9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ht="27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spans="1:6" ht="27">
      <c r="A3" s="2" t="s">
        <v>28</v>
      </c>
      <c r="B3" s="2" t="s">
        <v>23</v>
      </c>
      <c r="C3" s="2" t="s">
        <v>29</v>
      </c>
      <c r="D3" s="2" t="s">
        <v>30</v>
      </c>
      <c r="E3" s="2" t="s">
        <v>31</v>
      </c>
      <c r="F3" s="2" t="s">
        <v>32</v>
      </c>
    </row>
    <row r="4" spans="1:6" ht="27">
      <c r="A4" s="2" t="s">
        <v>33</v>
      </c>
      <c r="B4" s="2" t="s">
        <v>23</v>
      </c>
      <c r="C4" s="2" t="s">
        <v>34</v>
      </c>
      <c r="D4" s="2" t="s">
        <v>35</v>
      </c>
      <c r="E4" s="2" t="s">
        <v>36</v>
      </c>
      <c r="F4" s="2" t="s">
        <v>37</v>
      </c>
    </row>
    <row r="5" spans="1:6" ht="27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</row>
    <row r="6" spans="1:6" ht="27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</row>
    <row r="7" spans="1:6" ht="27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8"/>
  <sheetViews>
    <sheetView tabSelected="1" topLeftCell="H1" zoomScaleNormal="100" workbookViewId="0">
      <selection activeCell="I6" sqref="I6"/>
    </sheetView>
  </sheetViews>
  <sheetFormatPr defaultRowHeight="13.5"/>
  <cols>
    <col min="1" max="2" width="10" hidden="1" customWidth="1"/>
    <col min="3" max="3" width="30" hidden="1" customWidth="1"/>
    <col min="4" max="4" width="16" hidden="1" customWidth="1"/>
    <col min="5" max="5" width="8" hidden="1" customWidth="1"/>
    <col min="6" max="6" width="14" hidden="1" customWidth="1"/>
    <col min="7" max="7" width="12" hidden="1" customWidth="1"/>
    <col min="8" max="8" width="38" customWidth="1"/>
    <col min="9" max="9" width="28" customWidth="1"/>
    <col min="10" max="11" width="28" hidden="1" customWidth="1"/>
    <col min="12" max="12" width="24" hidden="1" customWidth="1"/>
    <col min="13" max="13" width="11" hidden="1" customWidth="1"/>
    <col min="14" max="14" width="16" hidden="1" customWidth="1"/>
    <col min="15" max="15" width="14" hidden="1" customWidth="1"/>
    <col min="16" max="16" width="34" hidden="1" customWidth="1"/>
    <col min="17" max="17" width="16.0625" style="9" customWidth="1"/>
    <col min="18" max="18" width="18" customWidth="1"/>
    <col min="19" max="19" width="12" customWidth="1"/>
    <col min="20" max="20" width="34" customWidth="1"/>
    <col min="21" max="21" width="38" customWidth="1"/>
    <col min="22" max="23" width="12" customWidth="1"/>
    <col min="24" max="24" width="24" customWidth="1"/>
    <col min="25" max="25" width="18" customWidth="1"/>
    <col min="26" max="26" width="42" customWidth="1"/>
    <col min="27" max="27" width="30" customWidth="1"/>
    <col min="28" max="28" width="48" customWidth="1"/>
    <col min="29" max="29" width="42" customWidth="1"/>
    <col min="30" max="30" width="20" customWidth="1"/>
    <col min="31" max="31" width="28" customWidth="1"/>
    <col min="32" max="33" width="16" customWidth="1"/>
    <col min="34" max="34" width="28" customWidth="1"/>
    <col min="35" max="35" width="54" customWidth="1"/>
  </cols>
  <sheetData>
    <row r="1" spans="1:35" ht="13.9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6" t="s">
        <v>611</v>
      </c>
      <c r="R1" s="3" t="s">
        <v>72</v>
      </c>
      <c r="S1" s="3" t="s">
        <v>73</v>
      </c>
      <c r="T1" s="3" t="s">
        <v>74</v>
      </c>
      <c r="U1" s="3" t="s">
        <v>75</v>
      </c>
      <c r="V1" s="3" t="s">
        <v>76</v>
      </c>
      <c r="W1" s="3" t="s">
        <v>77</v>
      </c>
      <c r="X1" s="3" t="s">
        <v>78</v>
      </c>
      <c r="Y1" s="3" t="s">
        <v>79</v>
      </c>
      <c r="Z1" s="3" t="s">
        <v>80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86</v>
      </c>
      <c r="AG1" s="3" t="s">
        <v>87</v>
      </c>
      <c r="AH1" s="3" t="s">
        <v>88</v>
      </c>
      <c r="AI1" s="3" t="s">
        <v>89</v>
      </c>
    </row>
    <row r="2" spans="1:35" ht="27">
      <c r="A2" s="2" t="s">
        <v>193</v>
      </c>
      <c r="B2" s="2" t="s">
        <v>91</v>
      </c>
      <c r="C2" s="2" t="s">
        <v>92</v>
      </c>
      <c r="D2" s="2" t="s">
        <v>93</v>
      </c>
      <c r="E2" s="2">
        <v>14</v>
      </c>
      <c r="F2" s="2" t="s">
        <v>194</v>
      </c>
      <c r="G2" s="2" t="s">
        <v>195</v>
      </c>
      <c r="H2" s="2" t="s">
        <v>196</v>
      </c>
      <c r="I2" s="2" t="s">
        <v>22</v>
      </c>
      <c r="J2" s="2"/>
      <c r="K2" s="2" t="s">
        <v>121</v>
      </c>
      <c r="L2" s="2" t="s">
        <v>197</v>
      </c>
      <c r="M2" s="2" t="s">
        <v>99</v>
      </c>
      <c r="N2" s="2" t="s">
        <v>198</v>
      </c>
      <c r="O2" s="2" t="s">
        <v>125</v>
      </c>
      <c r="P2" s="2" t="s">
        <v>199</v>
      </c>
      <c r="Q2" s="8"/>
      <c r="R2" s="2" t="s">
        <v>127</v>
      </c>
      <c r="S2" s="2" t="s">
        <v>104</v>
      </c>
      <c r="T2" s="2" t="s">
        <v>200</v>
      </c>
      <c r="U2" s="2" t="s">
        <v>106</v>
      </c>
      <c r="V2" s="2" t="s">
        <v>107</v>
      </c>
      <c r="W2" s="2" t="s">
        <v>107</v>
      </c>
      <c r="X2" s="2" t="s">
        <v>201</v>
      </c>
      <c r="Y2" s="2" t="s">
        <v>202</v>
      </c>
      <c r="Z2" s="2" t="s">
        <v>203</v>
      </c>
      <c r="AA2" s="2"/>
      <c r="AB2" s="2" t="s">
        <v>204</v>
      </c>
      <c r="AC2" s="2" t="s">
        <v>205</v>
      </c>
      <c r="AD2" s="2"/>
      <c r="AE2" s="2"/>
      <c r="AF2" s="2" t="s">
        <v>114</v>
      </c>
      <c r="AG2" s="2" t="s">
        <v>115</v>
      </c>
      <c r="AH2" s="2"/>
      <c r="AI2" s="2" t="s">
        <v>206</v>
      </c>
    </row>
    <row r="3" spans="1:35" ht="27">
      <c r="A3" s="2" t="s">
        <v>207</v>
      </c>
      <c r="B3" s="2" t="s">
        <v>91</v>
      </c>
      <c r="C3" s="2" t="s">
        <v>92</v>
      </c>
      <c r="D3" s="2" t="s">
        <v>93</v>
      </c>
      <c r="E3" s="2">
        <v>15</v>
      </c>
      <c r="F3" s="2" t="s">
        <v>194</v>
      </c>
      <c r="G3" s="2" t="s">
        <v>208</v>
      </c>
      <c r="H3" s="2" t="s">
        <v>209</v>
      </c>
      <c r="I3" s="2" t="s">
        <v>22</v>
      </c>
      <c r="J3" s="2"/>
      <c r="K3" s="2" t="s">
        <v>121</v>
      </c>
      <c r="L3" s="2" t="s">
        <v>197</v>
      </c>
      <c r="M3" s="2" t="s">
        <v>99</v>
      </c>
      <c r="N3" s="2" t="s">
        <v>198</v>
      </c>
      <c r="O3" s="2" t="s">
        <v>125</v>
      </c>
      <c r="P3" s="2" t="s">
        <v>199</v>
      </c>
      <c r="Q3" s="8"/>
      <c r="R3" s="2" t="s">
        <v>127</v>
      </c>
      <c r="S3" s="2" t="s">
        <v>104</v>
      </c>
      <c r="T3" s="2" t="s">
        <v>200</v>
      </c>
      <c r="U3" s="2" t="s">
        <v>106</v>
      </c>
      <c r="V3" s="2" t="s">
        <v>107</v>
      </c>
      <c r="W3" s="2" t="s">
        <v>107</v>
      </c>
      <c r="X3" s="2" t="s">
        <v>201</v>
      </c>
      <c r="Y3" s="2" t="s">
        <v>202</v>
      </c>
      <c r="Z3" s="2" t="s">
        <v>203</v>
      </c>
      <c r="AA3" s="2"/>
      <c r="AB3" s="2" t="s">
        <v>210</v>
      </c>
      <c r="AC3" s="2" t="s">
        <v>205</v>
      </c>
      <c r="AD3" s="2"/>
      <c r="AE3" s="2" t="s">
        <v>211</v>
      </c>
      <c r="AF3" s="2" t="s">
        <v>114</v>
      </c>
      <c r="AG3" s="2" t="s">
        <v>115</v>
      </c>
      <c r="AH3" s="2"/>
      <c r="AI3" s="2" t="s">
        <v>206</v>
      </c>
    </row>
    <row r="4" spans="1:35" ht="27">
      <c r="A4" s="2" t="s">
        <v>212</v>
      </c>
      <c r="B4" s="2" t="s">
        <v>91</v>
      </c>
      <c r="C4" s="2" t="s">
        <v>92</v>
      </c>
      <c r="D4" s="2" t="s">
        <v>93</v>
      </c>
      <c r="E4" s="2">
        <v>16</v>
      </c>
      <c r="F4" s="2" t="s">
        <v>194</v>
      </c>
      <c r="G4" s="2" t="s">
        <v>213</v>
      </c>
      <c r="H4" s="2" t="s">
        <v>214</v>
      </c>
      <c r="I4" s="2" t="s">
        <v>22</v>
      </c>
      <c r="J4" s="2"/>
      <c r="K4" s="2" t="s">
        <v>121</v>
      </c>
      <c r="L4" s="2" t="s">
        <v>197</v>
      </c>
      <c r="M4" s="2" t="s">
        <v>99</v>
      </c>
      <c r="N4" s="2" t="s">
        <v>198</v>
      </c>
      <c r="O4" s="2" t="s">
        <v>125</v>
      </c>
      <c r="P4" s="2" t="s">
        <v>199</v>
      </c>
      <c r="Q4" s="8"/>
      <c r="R4" s="2" t="s">
        <v>127</v>
      </c>
      <c r="S4" s="2" t="s">
        <v>104</v>
      </c>
      <c r="T4" s="2" t="s">
        <v>200</v>
      </c>
      <c r="U4" s="2" t="s">
        <v>106</v>
      </c>
      <c r="V4" s="2" t="s">
        <v>107</v>
      </c>
      <c r="W4" s="2" t="s">
        <v>107</v>
      </c>
      <c r="X4" s="2" t="s">
        <v>201</v>
      </c>
      <c r="Y4" s="2" t="s">
        <v>215</v>
      </c>
      <c r="Z4" s="2" t="s">
        <v>216</v>
      </c>
      <c r="AA4" s="2"/>
      <c r="AB4" s="2" t="s">
        <v>217</v>
      </c>
      <c r="AC4" s="2" t="s">
        <v>205</v>
      </c>
      <c r="AD4" s="2"/>
      <c r="AE4" s="2"/>
      <c r="AF4" s="2" t="s">
        <v>114</v>
      </c>
      <c r="AG4" s="2" t="s">
        <v>115</v>
      </c>
      <c r="AH4" s="2"/>
      <c r="AI4" s="2" t="s">
        <v>206</v>
      </c>
    </row>
    <row r="5" spans="1:35" ht="27">
      <c r="A5" s="2" t="s">
        <v>218</v>
      </c>
      <c r="B5" s="2" t="s">
        <v>91</v>
      </c>
      <c r="C5" s="2" t="s">
        <v>92</v>
      </c>
      <c r="D5" s="2" t="s">
        <v>93</v>
      </c>
      <c r="E5" s="2">
        <v>17</v>
      </c>
      <c r="F5" s="2" t="s">
        <v>194</v>
      </c>
      <c r="G5" s="2" t="s">
        <v>219</v>
      </c>
      <c r="H5" s="2" t="s">
        <v>220</v>
      </c>
      <c r="I5" s="2" t="s">
        <v>22</v>
      </c>
      <c r="J5" s="2"/>
      <c r="K5" s="2" t="s">
        <v>121</v>
      </c>
      <c r="L5" s="2" t="s">
        <v>197</v>
      </c>
      <c r="M5" s="2" t="s">
        <v>99</v>
      </c>
      <c r="N5" s="2" t="s">
        <v>198</v>
      </c>
      <c r="O5" s="2" t="s">
        <v>125</v>
      </c>
      <c r="P5" s="2" t="s">
        <v>199</v>
      </c>
      <c r="Q5" s="8"/>
      <c r="R5" s="2" t="s">
        <v>145</v>
      </c>
      <c r="S5" s="2" t="s">
        <v>104</v>
      </c>
      <c r="T5" s="2" t="s">
        <v>221</v>
      </c>
      <c r="U5" s="2" t="s">
        <v>106</v>
      </c>
      <c r="V5" s="2" t="s">
        <v>107</v>
      </c>
      <c r="W5" s="2" t="s">
        <v>107</v>
      </c>
      <c r="X5" s="2" t="s">
        <v>222</v>
      </c>
      <c r="Y5" s="2" t="s">
        <v>223</v>
      </c>
      <c r="Z5" s="2" t="s">
        <v>224</v>
      </c>
      <c r="AA5" s="2"/>
      <c r="AB5" s="2" t="s">
        <v>225</v>
      </c>
      <c r="AC5" s="2" t="s">
        <v>226</v>
      </c>
      <c r="AD5" s="2"/>
      <c r="AE5" s="2"/>
      <c r="AF5" s="2" t="s">
        <v>114</v>
      </c>
      <c r="AG5" s="2" t="s">
        <v>115</v>
      </c>
      <c r="AH5" s="2"/>
      <c r="AI5" s="2" t="s">
        <v>206</v>
      </c>
    </row>
    <row r="6" spans="1:35" ht="27">
      <c r="A6" s="2" t="s">
        <v>227</v>
      </c>
      <c r="B6" s="2" t="s">
        <v>91</v>
      </c>
      <c r="C6" s="2" t="s">
        <v>92</v>
      </c>
      <c r="D6" s="2" t="s">
        <v>93</v>
      </c>
      <c r="E6" s="2">
        <v>18</v>
      </c>
      <c r="F6" s="2" t="s">
        <v>194</v>
      </c>
      <c r="G6" s="2" t="s">
        <v>228</v>
      </c>
      <c r="H6" s="2" t="s">
        <v>229</v>
      </c>
      <c r="I6" s="2" t="s">
        <v>22</v>
      </c>
      <c r="J6" s="2"/>
      <c r="K6" s="2" t="s">
        <v>121</v>
      </c>
      <c r="L6" s="2" t="s">
        <v>197</v>
      </c>
      <c r="M6" s="2" t="s">
        <v>99</v>
      </c>
      <c r="N6" s="2" t="s">
        <v>198</v>
      </c>
      <c r="O6" s="2" t="s">
        <v>125</v>
      </c>
      <c r="P6" s="2" t="s">
        <v>199</v>
      </c>
      <c r="Q6" s="8"/>
      <c r="R6" s="2" t="s">
        <v>230</v>
      </c>
      <c r="S6" s="2" t="s">
        <v>231</v>
      </c>
      <c r="T6" s="2" t="s">
        <v>232</v>
      </c>
      <c r="U6" s="2" t="s">
        <v>233</v>
      </c>
      <c r="V6" s="2" t="s">
        <v>161</v>
      </c>
      <c r="W6" s="2"/>
      <c r="X6" s="2" t="s">
        <v>234</v>
      </c>
      <c r="Y6" s="2" t="s">
        <v>235</v>
      </c>
      <c r="Z6" s="2" t="s">
        <v>236</v>
      </c>
      <c r="AA6" s="2"/>
      <c r="AB6" s="2" t="s">
        <v>237</v>
      </c>
      <c r="AC6" s="2" t="s">
        <v>238</v>
      </c>
      <c r="AD6" s="2"/>
      <c r="AE6" s="2"/>
      <c r="AF6" s="2" t="s">
        <v>114</v>
      </c>
      <c r="AG6" s="2" t="s">
        <v>115</v>
      </c>
      <c r="AH6" s="2"/>
      <c r="AI6" s="2" t="s">
        <v>206</v>
      </c>
    </row>
    <row r="7" spans="1:35" ht="27">
      <c r="A7" s="2" t="s">
        <v>248</v>
      </c>
      <c r="B7" s="2" t="s">
        <v>91</v>
      </c>
      <c r="C7" s="2" t="s">
        <v>92</v>
      </c>
      <c r="D7" s="2" t="s">
        <v>93</v>
      </c>
      <c r="E7" s="2">
        <v>20</v>
      </c>
      <c r="F7" s="2" t="s">
        <v>194</v>
      </c>
      <c r="G7" s="2" t="s">
        <v>249</v>
      </c>
      <c r="H7" s="2" t="s">
        <v>250</v>
      </c>
      <c r="I7" s="2" t="s">
        <v>22</v>
      </c>
      <c r="J7" s="2"/>
      <c r="K7" s="2" t="s">
        <v>121</v>
      </c>
      <c r="L7" s="2" t="s">
        <v>197</v>
      </c>
      <c r="M7" s="2" t="s">
        <v>99</v>
      </c>
      <c r="N7" s="2" t="s">
        <v>198</v>
      </c>
      <c r="O7" s="2" t="s">
        <v>125</v>
      </c>
      <c r="P7" s="2" t="s">
        <v>199</v>
      </c>
      <c r="Q7" s="8"/>
      <c r="R7" s="2" t="s">
        <v>251</v>
      </c>
      <c r="S7" s="2" t="s">
        <v>242</v>
      </c>
      <c r="T7" s="2" t="s">
        <v>243</v>
      </c>
      <c r="U7" s="2" t="s">
        <v>160</v>
      </c>
      <c r="V7" s="2" t="s">
        <v>161</v>
      </c>
      <c r="W7" s="2" t="s">
        <v>107</v>
      </c>
      <c r="X7" s="2" t="s">
        <v>252</v>
      </c>
      <c r="Y7" s="2" t="s">
        <v>253</v>
      </c>
      <c r="Z7" s="2" t="s">
        <v>254</v>
      </c>
      <c r="AA7" s="2"/>
      <c r="AB7" s="2" t="s">
        <v>255</v>
      </c>
      <c r="AC7" s="2" t="s">
        <v>247</v>
      </c>
      <c r="AD7" s="2"/>
      <c r="AE7" s="2"/>
      <c r="AF7" s="2" t="s">
        <v>114</v>
      </c>
      <c r="AG7" s="2" t="s">
        <v>115</v>
      </c>
      <c r="AH7" s="2"/>
      <c r="AI7" s="2" t="s">
        <v>206</v>
      </c>
    </row>
    <row r="8" spans="1:35" ht="27">
      <c r="A8" s="2" t="s">
        <v>262</v>
      </c>
      <c r="B8" s="2" t="s">
        <v>91</v>
      </c>
      <c r="C8" s="2" t="s">
        <v>92</v>
      </c>
      <c r="D8" s="2" t="s">
        <v>93</v>
      </c>
      <c r="E8" s="2">
        <v>22</v>
      </c>
      <c r="F8" s="2" t="s">
        <v>194</v>
      </c>
      <c r="G8" s="2" t="s">
        <v>263</v>
      </c>
      <c r="H8" s="2" t="s">
        <v>264</v>
      </c>
      <c r="I8" s="2" t="s">
        <v>22</v>
      </c>
      <c r="J8" s="2"/>
      <c r="K8" s="2" t="s">
        <v>121</v>
      </c>
      <c r="L8" s="2" t="s">
        <v>197</v>
      </c>
      <c r="M8" s="2" t="s">
        <v>99</v>
      </c>
      <c r="N8" s="2" t="s">
        <v>198</v>
      </c>
      <c r="O8" s="2" t="s">
        <v>125</v>
      </c>
      <c r="P8" s="2" t="s">
        <v>199</v>
      </c>
      <c r="Q8" s="8"/>
      <c r="R8" s="2" t="s">
        <v>251</v>
      </c>
      <c r="S8" s="2" t="s">
        <v>242</v>
      </c>
      <c r="T8" s="2" t="s">
        <v>243</v>
      </c>
      <c r="U8" s="2" t="s">
        <v>160</v>
      </c>
      <c r="V8" s="2" t="s">
        <v>161</v>
      </c>
      <c r="W8" s="2" t="s">
        <v>107</v>
      </c>
      <c r="X8" s="2" t="s">
        <v>252</v>
      </c>
      <c r="Y8" s="2" t="s">
        <v>253</v>
      </c>
      <c r="Z8" s="2" t="s">
        <v>254</v>
      </c>
      <c r="AA8" s="2"/>
      <c r="AB8" s="2" t="s">
        <v>265</v>
      </c>
      <c r="AC8" s="2" t="s">
        <v>247</v>
      </c>
      <c r="AD8" s="2"/>
      <c r="AE8" s="2"/>
      <c r="AF8" s="2" t="s">
        <v>114</v>
      </c>
      <c r="AG8" s="2" t="s">
        <v>115</v>
      </c>
      <c r="AH8" s="2"/>
      <c r="AI8" s="2" t="s">
        <v>206</v>
      </c>
    </row>
    <row r="9" spans="1:35" ht="27">
      <c r="A9" s="2" t="s">
        <v>283</v>
      </c>
      <c r="B9" s="2" t="s">
        <v>91</v>
      </c>
      <c r="C9" s="2" t="s">
        <v>92</v>
      </c>
      <c r="D9" s="2" t="s">
        <v>93</v>
      </c>
      <c r="E9" s="2">
        <v>26</v>
      </c>
      <c r="F9" s="2" t="s">
        <v>267</v>
      </c>
      <c r="G9" s="2" t="s">
        <v>284</v>
      </c>
      <c r="H9" s="2" t="s">
        <v>285</v>
      </c>
      <c r="I9" s="2" t="s">
        <v>28</v>
      </c>
      <c r="J9" s="2"/>
      <c r="K9" s="2" t="s">
        <v>121</v>
      </c>
      <c r="L9" s="2" t="s">
        <v>197</v>
      </c>
      <c r="M9" s="2" t="s">
        <v>269</v>
      </c>
      <c r="N9" s="2" t="s">
        <v>270</v>
      </c>
      <c r="O9" s="2" t="s">
        <v>125</v>
      </c>
      <c r="P9" s="2" t="s">
        <v>271</v>
      </c>
      <c r="Q9" s="2"/>
      <c r="R9" s="2" t="s">
        <v>145</v>
      </c>
      <c r="S9" s="2" t="s">
        <v>104</v>
      </c>
      <c r="T9" s="2" t="s">
        <v>273</v>
      </c>
      <c r="U9" s="2" t="s">
        <v>160</v>
      </c>
      <c r="V9" s="2" t="s">
        <v>161</v>
      </c>
      <c r="W9" s="2" t="s">
        <v>107</v>
      </c>
      <c r="X9" s="2" t="s">
        <v>286</v>
      </c>
      <c r="Y9" s="2" t="s">
        <v>287</v>
      </c>
      <c r="Z9" s="2" t="s">
        <v>288</v>
      </c>
      <c r="AA9" s="2"/>
      <c r="AB9" s="2" t="s">
        <v>289</v>
      </c>
      <c r="AC9" s="2" t="s">
        <v>277</v>
      </c>
      <c r="AD9" s="2"/>
      <c r="AE9" s="2"/>
      <c r="AF9" s="2" t="s">
        <v>114</v>
      </c>
      <c r="AG9" s="2" t="s">
        <v>115</v>
      </c>
      <c r="AH9" s="2"/>
      <c r="AI9" s="2" t="s">
        <v>278</v>
      </c>
    </row>
    <row r="10" spans="1:35" ht="27">
      <c r="A10" s="2" t="s">
        <v>290</v>
      </c>
      <c r="B10" s="2" t="s">
        <v>91</v>
      </c>
      <c r="C10" s="2" t="s">
        <v>92</v>
      </c>
      <c r="D10" s="2" t="s">
        <v>93</v>
      </c>
      <c r="E10" s="2">
        <v>27</v>
      </c>
      <c r="F10" s="2" t="s">
        <v>267</v>
      </c>
      <c r="G10" s="2" t="s">
        <v>291</v>
      </c>
      <c r="H10" s="2" t="s">
        <v>292</v>
      </c>
      <c r="I10" s="2" t="s">
        <v>28</v>
      </c>
      <c r="J10" s="2"/>
      <c r="K10" s="2" t="s">
        <v>121</v>
      </c>
      <c r="L10" s="2" t="s">
        <v>197</v>
      </c>
      <c r="M10" s="2" t="s">
        <v>269</v>
      </c>
      <c r="N10" s="2" t="s">
        <v>270</v>
      </c>
      <c r="O10" s="2" t="s">
        <v>125</v>
      </c>
      <c r="P10" s="2" t="s">
        <v>271</v>
      </c>
      <c r="Q10" s="2"/>
      <c r="R10" s="2" t="s">
        <v>145</v>
      </c>
      <c r="S10" s="2" t="s">
        <v>104</v>
      </c>
      <c r="T10" s="2" t="s">
        <v>273</v>
      </c>
      <c r="U10" s="2" t="s">
        <v>160</v>
      </c>
      <c r="V10" s="2" t="s">
        <v>161</v>
      </c>
      <c r="W10" s="2" t="s">
        <v>107</v>
      </c>
      <c r="X10" s="2" t="s">
        <v>286</v>
      </c>
      <c r="Y10" s="2" t="s">
        <v>293</v>
      </c>
      <c r="Z10" s="2" t="s">
        <v>294</v>
      </c>
      <c r="AA10" s="2"/>
      <c r="AB10" s="2" t="s">
        <v>295</v>
      </c>
      <c r="AC10" s="2" t="s">
        <v>277</v>
      </c>
      <c r="AD10" s="2"/>
      <c r="AE10" s="2"/>
      <c r="AF10" s="2" t="s">
        <v>114</v>
      </c>
      <c r="AG10" s="2" t="s">
        <v>115</v>
      </c>
      <c r="AH10" s="2"/>
      <c r="AI10" s="2" t="s">
        <v>278</v>
      </c>
    </row>
    <row r="11" spans="1:35" ht="27">
      <c r="A11" s="2" t="s">
        <v>296</v>
      </c>
      <c r="B11" s="2" t="s">
        <v>91</v>
      </c>
      <c r="C11" s="2" t="s">
        <v>92</v>
      </c>
      <c r="D11" s="2" t="s">
        <v>93</v>
      </c>
      <c r="E11" s="2">
        <v>28</v>
      </c>
      <c r="F11" s="2" t="s">
        <v>267</v>
      </c>
      <c r="G11" s="2" t="s">
        <v>297</v>
      </c>
      <c r="H11" s="2" t="s">
        <v>298</v>
      </c>
      <c r="I11" s="2" t="s">
        <v>28</v>
      </c>
      <c r="J11" s="2"/>
      <c r="K11" s="2" t="s">
        <v>121</v>
      </c>
      <c r="L11" s="2" t="s">
        <v>197</v>
      </c>
      <c r="M11" s="2" t="s">
        <v>269</v>
      </c>
      <c r="N11" s="2" t="s">
        <v>270</v>
      </c>
      <c r="O11" s="2" t="s">
        <v>125</v>
      </c>
      <c r="P11" s="2" t="s">
        <v>271</v>
      </c>
      <c r="Q11" s="2"/>
      <c r="R11" s="2" t="s">
        <v>145</v>
      </c>
      <c r="S11" s="2" t="s">
        <v>104</v>
      </c>
      <c r="T11" s="2" t="s">
        <v>273</v>
      </c>
      <c r="U11" s="2" t="s">
        <v>160</v>
      </c>
      <c r="V11" s="2" t="s">
        <v>161</v>
      </c>
      <c r="W11" s="2" t="s">
        <v>107</v>
      </c>
      <c r="X11" s="2" t="s">
        <v>286</v>
      </c>
      <c r="Y11" s="2" t="s">
        <v>299</v>
      </c>
      <c r="Z11" s="2" t="s">
        <v>300</v>
      </c>
      <c r="AA11" s="2"/>
      <c r="AB11" s="2" t="s">
        <v>295</v>
      </c>
      <c r="AC11" s="2" t="s">
        <v>277</v>
      </c>
      <c r="AD11" s="2"/>
      <c r="AE11" s="2"/>
      <c r="AF11" s="2" t="s">
        <v>114</v>
      </c>
      <c r="AG11" s="2" t="s">
        <v>115</v>
      </c>
      <c r="AH11" s="2"/>
      <c r="AI11" s="2" t="s">
        <v>278</v>
      </c>
    </row>
    <row r="12" spans="1:35" ht="27">
      <c r="A12" s="2" t="s">
        <v>301</v>
      </c>
      <c r="B12" s="2" t="s">
        <v>91</v>
      </c>
      <c r="C12" s="2" t="s">
        <v>92</v>
      </c>
      <c r="D12" s="2" t="s">
        <v>93</v>
      </c>
      <c r="E12" s="2">
        <v>29</v>
      </c>
      <c r="F12" s="2" t="s">
        <v>267</v>
      </c>
      <c r="G12" s="2" t="s">
        <v>302</v>
      </c>
      <c r="H12" s="2" t="s">
        <v>303</v>
      </c>
      <c r="I12" s="2" t="s">
        <v>28</v>
      </c>
      <c r="J12" s="2"/>
      <c r="K12" s="2" t="s">
        <v>121</v>
      </c>
      <c r="L12" s="2" t="s">
        <v>197</v>
      </c>
      <c r="M12" s="2" t="s">
        <v>269</v>
      </c>
      <c r="N12" s="2" t="s">
        <v>270</v>
      </c>
      <c r="O12" s="2" t="s">
        <v>125</v>
      </c>
      <c r="P12" s="2" t="s">
        <v>271</v>
      </c>
      <c r="Q12" s="7"/>
      <c r="R12" s="2" t="s">
        <v>251</v>
      </c>
      <c r="S12" s="2" t="s">
        <v>242</v>
      </c>
      <c r="T12" s="2" t="s">
        <v>304</v>
      </c>
      <c r="U12" s="2" t="s">
        <v>171</v>
      </c>
      <c r="V12" s="2" t="s">
        <v>107</v>
      </c>
      <c r="W12" s="2"/>
      <c r="X12" s="2" t="s">
        <v>259</v>
      </c>
      <c r="Y12" s="2" t="s">
        <v>305</v>
      </c>
      <c r="Z12" s="2" t="s">
        <v>306</v>
      </c>
      <c r="AA12" s="2"/>
      <c r="AB12" s="2" t="s">
        <v>307</v>
      </c>
      <c r="AC12" s="2" t="s">
        <v>308</v>
      </c>
      <c r="AD12" s="2"/>
      <c r="AE12" s="2"/>
      <c r="AF12" s="2" t="s">
        <v>114</v>
      </c>
      <c r="AG12" s="2" t="s">
        <v>115</v>
      </c>
      <c r="AH12" s="2"/>
      <c r="AI12" s="2" t="s">
        <v>278</v>
      </c>
    </row>
    <row r="13" spans="1:35" ht="40.5">
      <c r="A13" s="2" t="s">
        <v>392</v>
      </c>
      <c r="B13" s="2" t="s">
        <v>310</v>
      </c>
      <c r="C13" s="2" t="s">
        <v>311</v>
      </c>
      <c r="D13" s="2" t="s">
        <v>312</v>
      </c>
      <c r="E13" s="2">
        <v>15</v>
      </c>
      <c r="F13" s="2" t="s">
        <v>393</v>
      </c>
      <c r="G13" s="2"/>
      <c r="H13" s="2" t="s">
        <v>394</v>
      </c>
      <c r="I13" s="2" t="s">
        <v>28</v>
      </c>
      <c r="J13" s="2"/>
      <c r="K13" s="2" t="s">
        <v>121</v>
      </c>
      <c r="L13" s="2" t="s">
        <v>197</v>
      </c>
      <c r="M13" s="2" t="s">
        <v>123</v>
      </c>
      <c r="N13" s="2" t="s">
        <v>270</v>
      </c>
      <c r="O13" s="2" t="s">
        <v>125</v>
      </c>
      <c r="P13" s="2" t="s">
        <v>271</v>
      </c>
      <c r="Q13" s="2"/>
      <c r="R13" s="2" t="s">
        <v>395</v>
      </c>
      <c r="S13" s="2" t="s">
        <v>315</v>
      </c>
      <c r="T13" s="2" t="s">
        <v>396</v>
      </c>
      <c r="U13" s="2" t="s">
        <v>341</v>
      </c>
      <c r="V13" s="2" t="s">
        <v>107</v>
      </c>
      <c r="W13" s="2" t="s">
        <v>318</v>
      </c>
      <c r="X13" s="2" t="s">
        <v>397</v>
      </c>
      <c r="Y13" s="2"/>
      <c r="Z13" s="2" t="s">
        <v>398</v>
      </c>
      <c r="AA13" s="2" t="s">
        <v>399</v>
      </c>
      <c r="AB13" s="2" t="s">
        <v>400</v>
      </c>
      <c r="AC13" s="2"/>
      <c r="AD13" s="2"/>
      <c r="AE13" s="2"/>
      <c r="AF13" s="2" t="s">
        <v>114</v>
      </c>
      <c r="AG13" s="2" t="s">
        <v>115</v>
      </c>
      <c r="AH13" s="2"/>
      <c r="AI13" s="2" t="s">
        <v>278</v>
      </c>
    </row>
    <row r="14" spans="1:35" ht="40.5">
      <c r="A14" s="2" t="s">
        <v>548</v>
      </c>
      <c r="B14" s="2" t="s">
        <v>482</v>
      </c>
      <c r="C14" s="2" t="s">
        <v>483</v>
      </c>
      <c r="D14" s="2" t="s">
        <v>484</v>
      </c>
      <c r="E14" s="2">
        <v>23</v>
      </c>
      <c r="F14" s="2" t="s">
        <v>549</v>
      </c>
      <c r="G14" s="2"/>
      <c r="H14" s="2" t="s">
        <v>550</v>
      </c>
      <c r="I14" s="2" t="s">
        <v>28</v>
      </c>
      <c r="J14" s="2" t="s">
        <v>22</v>
      </c>
      <c r="K14" s="2" t="s">
        <v>121</v>
      </c>
      <c r="L14" s="2" t="s">
        <v>551</v>
      </c>
      <c r="M14" s="2" t="s">
        <v>123</v>
      </c>
      <c r="N14" s="2" t="s">
        <v>552</v>
      </c>
      <c r="O14" s="2" t="s">
        <v>125</v>
      </c>
      <c r="P14" s="2" t="s">
        <v>553</v>
      </c>
      <c r="Q14" s="2"/>
      <c r="R14" s="10">
        <v>42369</v>
      </c>
      <c r="S14" s="2" t="s">
        <v>554</v>
      </c>
      <c r="T14" s="2" t="s">
        <v>555</v>
      </c>
      <c r="U14" s="2" t="s">
        <v>556</v>
      </c>
      <c r="V14" s="2" t="s">
        <v>107</v>
      </c>
      <c r="W14" s="2"/>
      <c r="X14" s="2" t="s">
        <v>532</v>
      </c>
      <c r="Y14" s="2"/>
      <c r="Z14" s="2" t="s">
        <v>533</v>
      </c>
      <c r="AA14" s="2"/>
      <c r="AB14" s="2" t="s">
        <v>557</v>
      </c>
      <c r="AC14" s="2" t="s">
        <v>558</v>
      </c>
      <c r="AD14" s="2"/>
      <c r="AE14" s="2"/>
      <c r="AF14" s="2" t="s">
        <v>114</v>
      </c>
      <c r="AG14" s="2" t="s">
        <v>115</v>
      </c>
      <c r="AH14" s="2"/>
      <c r="AI14" s="2" t="s">
        <v>559</v>
      </c>
    </row>
    <row r="15" spans="1:35" ht="27">
      <c r="A15" s="2" t="s">
        <v>570</v>
      </c>
      <c r="B15" s="2" t="s">
        <v>482</v>
      </c>
      <c r="C15" s="2" t="s">
        <v>483</v>
      </c>
      <c r="D15" s="2" t="s">
        <v>484</v>
      </c>
      <c r="E15" s="2">
        <v>27</v>
      </c>
      <c r="F15" s="2"/>
      <c r="G15" s="2"/>
      <c r="H15" s="2" t="s">
        <v>571</v>
      </c>
      <c r="I15" s="2" t="s">
        <v>28</v>
      </c>
      <c r="J15" s="2"/>
      <c r="K15" s="2" t="s">
        <v>121</v>
      </c>
      <c r="L15" s="2" t="s">
        <v>197</v>
      </c>
      <c r="M15" s="2" t="s">
        <v>269</v>
      </c>
      <c r="N15" s="2" t="s">
        <v>270</v>
      </c>
      <c r="O15" s="2" t="s">
        <v>125</v>
      </c>
      <c r="P15" s="2" t="s">
        <v>271</v>
      </c>
      <c r="Q15" s="2"/>
      <c r="R15" s="2" t="s">
        <v>572</v>
      </c>
      <c r="S15" s="2" t="s">
        <v>554</v>
      </c>
      <c r="T15" s="2" t="s">
        <v>573</v>
      </c>
      <c r="U15" s="2" t="s">
        <v>574</v>
      </c>
      <c r="V15" s="2"/>
      <c r="W15" s="2"/>
      <c r="X15" s="2" t="s">
        <v>575</v>
      </c>
      <c r="Y15" s="2"/>
      <c r="Z15" s="2" t="s">
        <v>576</v>
      </c>
      <c r="AA15" s="2"/>
      <c r="AB15" s="2"/>
      <c r="AC15" s="2" t="s">
        <v>577</v>
      </c>
      <c r="AD15" s="2"/>
      <c r="AE15" s="2"/>
      <c r="AF15" s="2" t="s">
        <v>114</v>
      </c>
      <c r="AG15" s="2" t="s">
        <v>115</v>
      </c>
      <c r="AH15" s="2"/>
      <c r="AI15" s="2" t="s">
        <v>278</v>
      </c>
    </row>
    <row r="16" spans="1:35" ht="27">
      <c r="A16" s="2" t="s">
        <v>578</v>
      </c>
      <c r="B16" s="2" t="s">
        <v>482</v>
      </c>
      <c r="C16" s="2" t="s">
        <v>483</v>
      </c>
      <c r="D16" s="2" t="s">
        <v>484</v>
      </c>
      <c r="E16" s="2">
        <v>28</v>
      </c>
      <c r="F16" s="2"/>
      <c r="G16" s="2"/>
      <c r="H16" s="2" t="s">
        <v>579</v>
      </c>
      <c r="I16" s="2" t="s">
        <v>28</v>
      </c>
      <c r="J16" s="2"/>
      <c r="K16" s="2" t="s">
        <v>121</v>
      </c>
      <c r="L16" s="2" t="s">
        <v>197</v>
      </c>
      <c r="M16" s="2" t="s">
        <v>269</v>
      </c>
      <c r="N16" s="2" t="s">
        <v>270</v>
      </c>
      <c r="O16" s="2" t="s">
        <v>125</v>
      </c>
      <c r="P16" s="2" t="s">
        <v>271</v>
      </c>
      <c r="Q16" s="2"/>
      <c r="R16" s="2" t="s">
        <v>580</v>
      </c>
      <c r="S16" s="2" t="s">
        <v>554</v>
      </c>
      <c r="T16" s="2" t="s">
        <v>573</v>
      </c>
      <c r="U16" s="2" t="s">
        <v>574</v>
      </c>
      <c r="V16" s="2"/>
      <c r="W16" s="2"/>
      <c r="X16" s="2" t="s">
        <v>575</v>
      </c>
      <c r="Y16" s="2"/>
      <c r="Z16" s="2" t="s">
        <v>576</v>
      </c>
      <c r="AA16" s="2"/>
      <c r="AB16" s="2"/>
      <c r="AC16" s="2" t="s">
        <v>581</v>
      </c>
      <c r="AD16" s="2"/>
      <c r="AE16" s="2"/>
      <c r="AF16" s="2" t="s">
        <v>114</v>
      </c>
      <c r="AG16" s="2" t="s">
        <v>115</v>
      </c>
      <c r="AH16" s="2"/>
      <c r="AI16" s="2" t="s">
        <v>278</v>
      </c>
    </row>
    <row r="17" spans="1:35" ht="27">
      <c r="A17" s="2" t="s">
        <v>118</v>
      </c>
      <c r="B17" s="2" t="s">
        <v>91</v>
      </c>
      <c r="C17" s="2" t="s">
        <v>92</v>
      </c>
      <c r="D17" s="2" t="s">
        <v>93</v>
      </c>
      <c r="E17" s="2">
        <v>7</v>
      </c>
      <c r="F17" s="2" t="s">
        <v>94</v>
      </c>
      <c r="G17" s="2" t="s">
        <v>119</v>
      </c>
      <c r="H17" s="2" t="s">
        <v>120</v>
      </c>
      <c r="I17" s="2" t="s">
        <v>33</v>
      </c>
      <c r="J17" s="2"/>
      <c r="K17" s="2" t="s">
        <v>121</v>
      </c>
      <c r="L17" s="2" t="s">
        <v>122</v>
      </c>
      <c r="M17" s="2" t="s">
        <v>123</v>
      </c>
      <c r="N17" s="2" t="s">
        <v>124</v>
      </c>
      <c r="O17" s="2" t="s">
        <v>125</v>
      </c>
      <c r="P17" s="2" t="s">
        <v>126</v>
      </c>
      <c r="Q17" s="2"/>
      <c r="R17" s="2" t="s">
        <v>127</v>
      </c>
      <c r="S17" s="2" t="s">
        <v>104</v>
      </c>
      <c r="T17" s="2" t="s">
        <v>105</v>
      </c>
      <c r="U17" s="2" t="s">
        <v>106</v>
      </c>
      <c r="V17" s="2" t="s">
        <v>107</v>
      </c>
      <c r="W17" s="2" t="s">
        <v>107</v>
      </c>
      <c r="X17" s="2" t="s">
        <v>108</v>
      </c>
      <c r="Y17" s="2" t="s">
        <v>128</v>
      </c>
      <c r="Z17" s="2" t="s">
        <v>129</v>
      </c>
      <c r="AA17" s="2"/>
      <c r="AB17" s="2" t="s">
        <v>130</v>
      </c>
      <c r="AC17" s="2" t="s">
        <v>112</v>
      </c>
      <c r="AD17" s="2"/>
      <c r="AE17" s="2" t="s">
        <v>131</v>
      </c>
      <c r="AF17" s="2" t="s">
        <v>114</v>
      </c>
      <c r="AG17" s="2" t="s">
        <v>115</v>
      </c>
      <c r="AH17" s="2"/>
      <c r="AI17" s="2" t="s">
        <v>132</v>
      </c>
    </row>
    <row r="18" spans="1:35" ht="27">
      <c r="A18" s="2" t="s">
        <v>133</v>
      </c>
      <c r="B18" s="2" t="s">
        <v>91</v>
      </c>
      <c r="C18" s="2" t="s">
        <v>92</v>
      </c>
      <c r="D18" s="2" t="s">
        <v>93</v>
      </c>
      <c r="E18" s="2">
        <v>8</v>
      </c>
      <c r="F18" s="2" t="s">
        <v>94</v>
      </c>
      <c r="G18" s="2" t="s">
        <v>134</v>
      </c>
      <c r="H18" s="2" t="s">
        <v>135</v>
      </c>
      <c r="I18" s="2" t="s">
        <v>33</v>
      </c>
      <c r="J18" s="2"/>
      <c r="K18" s="2" t="s">
        <v>121</v>
      </c>
      <c r="L18" s="2" t="s">
        <v>122</v>
      </c>
      <c r="M18" s="2" t="s">
        <v>123</v>
      </c>
      <c r="N18" s="2" t="s">
        <v>124</v>
      </c>
      <c r="O18" s="2" t="s">
        <v>125</v>
      </c>
      <c r="P18" s="2" t="s">
        <v>126</v>
      </c>
      <c r="Q18" s="2"/>
      <c r="R18" s="2" t="s">
        <v>136</v>
      </c>
      <c r="S18" s="2" t="s">
        <v>104</v>
      </c>
      <c r="T18" s="2" t="s">
        <v>137</v>
      </c>
      <c r="U18" s="2" t="s">
        <v>106</v>
      </c>
      <c r="V18" s="2" t="s">
        <v>107</v>
      </c>
      <c r="W18" s="2" t="s">
        <v>107</v>
      </c>
      <c r="X18" s="2" t="s">
        <v>108</v>
      </c>
      <c r="Y18" s="2" t="s">
        <v>138</v>
      </c>
      <c r="Z18" s="2" t="s">
        <v>139</v>
      </c>
      <c r="AA18" s="2"/>
      <c r="AB18" s="2" t="s">
        <v>140</v>
      </c>
      <c r="AC18" s="2" t="s">
        <v>141</v>
      </c>
      <c r="AD18" s="2"/>
      <c r="AE18" s="2"/>
      <c r="AF18" s="2" t="s">
        <v>114</v>
      </c>
      <c r="AG18" s="2" t="s">
        <v>115</v>
      </c>
      <c r="AH18" s="2"/>
      <c r="AI18" s="2" t="s">
        <v>132</v>
      </c>
    </row>
    <row r="19" spans="1:35" ht="27">
      <c r="A19" s="2" t="s">
        <v>142</v>
      </c>
      <c r="B19" s="2" t="s">
        <v>91</v>
      </c>
      <c r="C19" s="2" t="s">
        <v>92</v>
      </c>
      <c r="D19" s="2" t="s">
        <v>93</v>
      </c>
      <c r="E19" s="2">
        <v>9</v>
      </c>
      <c r="F19" s="2" t="s">
        <v>94</v>
      </c>
      <c r="G19" s="2" t="s">
        <v>143</v>
      </c>
      <c r="H19" s="2" t="s">
        <v>144</v>
      </c>
      <c r="I19" s="2" t="s">
        <v>33</v>
      </c>
      <c r="J19" s="2" t="s">
        <v>38</v>
      </c>
      <c r="K19" s="2" t="s">
        <v>121</v>
      </c>
      <c r="L19" s="2" t="s">
        <v>122</v>
      </c>
      <c r="M19" s="2" t="s">
        <v>123</v>
      </c>
      <c r="N19" s="2" t="s">
        <v>124</v>
      </c>
      <c r="O19" s="2" t="s">
        <v>125</v>
      </c>
      <c r="P19" s="2" t="s">
        <v>126</v>
      </c>
      <c r="Q19" s="2"/>
      <c r="R19" s="2" t="s">
        <v>145</v>
      </c>
      <c r="S19" s="2" t="s">
        <v>104</v>
      </c>
      <c r="T19" s="2" t="s">
        <v>146</v>
      </c>
      <c r="U19" s="2" t="s">
        <v>106</v>
      </c>
      <c r="V19" s="2" t="s">
        <v>107</v>
      </c>
      <c r="W19" s="2" t="s">
        <v>107</v>
      </c>
      <c r="X19" s="2" t="s">
        <v>108</v>
      </c>
      <c r="Y19" s="2" t="s">
        <v>147</v>
      </c>
      <c r="Z19" s="2" t="s">
        <v>148</v>
      </c>
      <c r="AA19" s="2"/>
      <c r="AB19" s="2" t="s">
        <v>149</v>
      </c>
      <c r="AC19" s="2" t="s">
        <v>150</v>
      </c>
      <c r="AD19" s="2"/>
      <c r="AE19" s="2" t="s">
        <v>151</v>
      </c>
      <c r="AF19" s="2" t="s">
        <v>114</v>
      </c>
      <c r="AG19" s="2" t="s">
        <v>115</v>
      </c>
      <c r="AH19" s="2"/>
      <c r="AI19" s="2" t="s">
        <v>152</v>
      </c>
    </row>
    <row r="20" spans="1:35" ht="27">
      <c r="A20" s="2" t="s">
        <v>177</v>
      </c>
      <c r="B20" s="2" t="s">
        <v>91</v>
      </c>
      <c r="C20" s="2" t="s">
        <v>92</v>
      </c>
      <c r="D20" s="2" t="s">
        <v>93</v>
      </c>
      <c r="E20" s="2">
        <v>12</v>
      </c>
      <c r="F20" s="2" t="s">
        <v>94</v>
      </c>
      <c r="G20" s="2" t="s">
        <v>178</v>
      </c>
      <c r="H20" s="2" t="s">
        <v>179</v>
      </c>
      <c r="I20" s="2" t="s">
        <v>33</v>
      </c>
      <c r="J20" s="2" t="s">
        <v>44</v>
      </c>
      <c r="K20" s="2" t="s">
        <v>121</v>
      </c>
      <c r="L20" s="2" t="s">
        <v>122</v>
      </c>
      <c r="M20" s="2" t="s">
        <v>123</v>
      </c>
      <c r="N20" s="2" t="s">
        <v>124</v>
      </c>
      <c r="O20" s="2" t="s">
        <v>125</v>
      </c>
      <c r="P20" s="2" t="s">
        <v>126</v>
      </c>
      <c r="Q20" s="2"/>
      <c r="R20" s="2" t="s">
        <v>127</v>
      </c>
      <c r="S20" s="2" t="s">
        <v>169</v>
      </c>
      <c r="T20" s="2" t="s">
        <v>180</v>
      </c>
      <c r="U20" s="2" t="s">
        <v>171</v>
      </c>
      <c r="V20" s="2" t="s">
        <v>107</v>
      </c>
      <c r="W20" s="2"/>
      <c r="X20" s="2" t="s">
        <v>172</v>
      </c>
      <c r="Y20" s="2" t="s">
        <v>181</v>
      </c>
      <c r="Z20" s="2" t="s">
        <v>182</v>
      </c>
      <c r="AA20" s="2"/>
      <c r="AB20" s="2" t="s">
        <v>183</v>
      </c>
      <c r="AC20" s="2" t="s">
        <v>184</v>
      </c>
      <c r="AD20" s="2"/>
      <c r="AE20" s="2"/>
      <c r="AF20" s="2" t="s">
        <v>114</v>
      </c>
      <c r="AG20" s="2" t="s">
        <v>115</v>
      </c>
      <c r="AH20" s="2"/>
      <c r="AI20" s="2" t="s">
        <v>185</v>
      </c>
    </row>
    <row r="21" spans="1:35" ht="40.5">
      <c r="A21" s="2" t="s">
        <v>322</v>
      </c>
      <c r="B21" s="2" t="s">
        <v>310</v>
      </c>
      <c r="C21" s="2" t="s">
        <v>311</v>
      </c>
      <c r="D21" s="2" t="s">
        <v>312</v>
      </c>
      <c r="E21" s="2">
        <v>3</v>
      </c>
      <c r="F21" s="2" t="s">
        <v>313</v>
      </c>
      <c r="G21" s="2"/>
      <c r="H21" s="2" t="s">
        <v>323</v>
      </c>
      <c r="I21" s="2" t="s">
        <v>33</v>
      </c>
      <c r="J21" s="2"/>
      <c r="K21" s="2" t="s">
        <v>121</v>
      </c>
      <c r="L21" s="2" t="s">
        <v>122</v>
      </c>
      <c r="M21" s="2" t="s">
        <v>99</v>
      </c>
      <c r="N21" s="2" t="s">
        <v>124</v>
      </c>
      <c r="O21" s="2" t="s">
        <v>125</v>
      </c>
      <c r="P21" s="2" t="s">
        <v>126</v>
      </c>
      <c r="Q21" s="7"/>
      <c r="R21" s="2" t="s">
        <v>314</v>
      </c>
      <c r="S21" s="2" t="s">
        <v>315</v>
      </c>
      <c r="T21" s="2" t="s">
        <v>316</v>
      </c>
      <c r="U21" s="2" t="s">
        <v>324</v>
      </c>
      <c r="V21" s="2" t="s">
        <v>107</v>
      </c>
      <c r="W21" s="2" t="s">
        <v>318</v>
      </c>
      <c r="X21" s="2" t="s">
        <v>319</v>
      </c>
      <c r="Y21" s="2"/>
      <c r="Z21" s="2" t="s">
        <v>320</v>
      </c>
      <c r="AA21" s="2" t="s">
        <v>321</v>
      </c>
      <c r="AB21" s="2" t="s">
        <v>325</v>
      </c>
      <c r="AC21" s="2"/>
      <c r="AD21" s="2"/>
      <c r="AE21" s="2"/>
      <c r="AF21" s="2" t="s">
        <v>114</v>
      </c>
      <c r="AG21" s="2" t="s">
        <v>115</v>
      </c>
      <c r="AH21" s="2"/>
      <c r="AI21" s="2" t="s">
        <v>132</v>
      </c>
    </row>
    <row r="22" spans="1:35" ht="40.5">
      <c r="A22" s="2" t="s">
        <v>343</v>
      </c>
      <c r="B22" s="2" t="s">
        <v>310</v>
      </c>
      <c r="C22" s="2" t="s">
        <v>311</v>
      </c>
      <c r="D22" s="2" t="s">
        <v>312</v>
      </c>
      <c r="E22" s="2">
        <v>8</v>
      </c>
      <c r="F22" s="2" t="s">
        <v>344</v>
      </c>
      <c r="G22" s="2"/>
      <c r="H22" s="2" t="s">
        <v>345</v>
      </c>
      <c r="I22" s="2" t="s">
        <v>33</v>
      </c>
      <c r="J22" s="2" t="s">
        <v>44</v>
      </c>
      <c r="K22" s="2" t="s">
        <v>121</v>
      </c>
      <c r="L22" s="2" t="s">
        <v>98</v>
      </c>
      <c r="M22" s="2" t="s">
        <v>99</v>
      </c>
      <c r="N22" s="2" t="s">
        <v>157</v>
      </c>
      <c r="O22" s="2" t="s">
        <v>125</v>
      </c>
      <c r="P22" s="2" t="s">
        <v>346</v>
      </c>
      <c r="Q22" s="2"/>
      <c r="R22" s="2" t="s">
        <v>347</v>
      </c>
      <c r="S22" s="2" t="s">
        <v>315</v>
      </c>
      <c r="T22" s="2" t="s">
        <v>348</v>
      </c>
      <c r="U22" s="2" t="s">
        <v>349</v>
      </c>
      <c r="V22" s="2" t="s">
        <v>161</v>
      </c>
      <c r="W22" s="2" t="s">
        <v>318</v>
      </c>
      <c r="X22" s="2" t="s">
        <v>319</v>
      </c>
      <c r="Y22" s="2"/>
      <c r="Z22" s="2" t="s">
        <v>320</v>
      </c>
      <c r="AA22" s="2" t="s">
        <v>350</v>
      </c>
      <c r="AB22" s="2" t="s">
        <v>351</v>
      </c>
      <c r="AC22" s="2"/>
      <c r="AD22" s="2"/>
      <c r="AE22" s="2"/>
      <c r="AF22" s="2" t="s">
        <v>114</v>
      </c>
      <c r="AG22" s="2" t="s">
        <v>115</v>
      </c>
      <c r="AH22" s="2"/>
      <c r="AI22" s="2" t="s">
        <v>185</v>
      </c>
    </row>
    <row r="23" spans="1:35" ht="40.5">
      <c r="A23" s="2" t="s">
        <v>376</v>
      </c>
      <c r="B23" s="2" t="s">
        <v>310</v>
      </c>
      <c r="C23" s="2" t="s">
        <v>311</v>
      </c>
      <c r="D23" s="2" t="s">
        <v>312</v>
      </c>
      <c r="E23" s="2">
        <v>13</v>
      </c>
      <c r="F23" s="2" t="s">
        <v>367</v>
      </c>
      <c r="G23" s="2"/>
      <c r="H23" s="2" t="s">
        <v>377</v>
      </c>
      <c r="I23" s="2" t="s">
        <v>33</v>
      </c>
      <c r="J23" s="2" t="s">
        <v>44</v>
      </c>
      <c r="K23" s="2" t="s">
        <v>121</v>
      </c>
      <c r="L23" s="2" t="s">
        <v>122</v>
      </c>
      <c r="M23" s="2" t="s">
        <v>123</v>
      </c>
      <c r="N23" s="2" t="s">
        <v>124</v>
      </c>
      <c r="O23" s="2" t="s">
        <v>125</v>
      </c>
      <c r="P23" s="2" t="s">
        <v>126</v>
      </c>
      <c r="Q23" s="2"/>
      <c r="R23" s="2" t="s">
        <v>369</v>
      </c>
      <c r="S23" s="2" t="s">
        <v>315</v>
      </c>
      <c r="T23" s="2" t="s">
        <v>370</v>
      </c>
      <c r="U23" s="2" t="s">
        <v>371</v>
      </c>
      <c r="V23" s="2" t="s">
        <v>107</v>
      </c>
      <c r="W23" s="2" t="s">
        <v>161</v>
      </c>
      <c r="X23" s="2" t="s">
        <v>319</v>
      </c>
      <c r="Y23" s="2"/>
      <c r="Z23" s="2" t="s">
        <v>372</v>
      </c>
      <c r="AA23" s="2" t="s">
        <v>373</v>
      </c>
      <c r="AB23" s="2" t="s">
        <v>378</v>
      </c>
      <c r="AC23" s="2"/>
      <c r="AD23" s="2"/>
      <c r="AE23" s="2"/>
      <c r="AF23" s="2" t="s">
        <v>114</v>
      </c>
      <c r="AG23" s="2" t="s">
        <v>115</v>
      </c>
      <c r="AH23" s="2"/>
      <c r="AI23" s="2" t="s">
        <v>185</v>
      </c>
    </row>
    <row r="24" spans="1:35" ht="40.5">
      <c r="A24" s="2" t="s">
        <v>464</v>
      </c>
      <c r="B24" s="2" t="s">
        <v>310</v>
      </c>
      <c r="C24" s="2" t="s">
        <v>311</v>
      </c>
      <c r="D24" s="2" t="s">
        <v>312</v>
      </c>
      <c r="E24" s="2">
        <v>27</v>
      </c>
      <c r="F24" s="2" t="s">
        <v>415</v>
      </c>
      <c r="G24" s="2"/>
      <c r="H24" s="2" t="s">
        <v>465</v>
      </c>
      <c r="I24" s="2" t="s">
        <v>33</v>
      </c>
      <c r="J24" s="2" t="s">
        <v>50</v>
      </c>
      <c r="K24" s="2" t="s">
        <v>121</v>
      </c>
      <c r="L24" s="2" t="s">
        <v>466</v>
      </c>
      <c r="M24" s="2" t="s">
        <v>123</v>
      </c>
      <c r="N24" s="2" t="s">
        <v>124</v>
      </c>
      <c r="O24" s="2" t="s">
        <v>125</v>
      </c>
      <c r="P24" s="2" t="s">
        <v>126</v>
      </c>
      <c r="Q24" s="2"/>
      <c r="R24" s="2" t="s">
        <v>467</v>
      </c>
      <c r="S24" s="2" t="s">
        <v>315</v>
      </c>
      <c r="T24" s="2" t="s">
        <v>468</v>
      </c>
      <c r="U24" s="2" t="s">
        <v>469</v>
      </c>
      <c r="V24" s="2" t="s">
        <v>161</v>
      </c>
      <c r="W24" s="2" t="s">
        <v>318</v>
      </c>
      <c r="X24" s="2" t="s">
        <v>423</v>
      </c>
      <c r="Y24" s="2"/>
      <c r="Z24" s="2" t="s">
        <v>470</v>
      </c>
      <c r="AA24" s="2" t="s">
        <v>471</v>
      </c>
      <c r="AB24" s="2" t="s">
        <v>472</v>
      </c>
      <c r="AC24" s="2"/>
      <c r="AD24" s="2"/>
      <c r="AE24" s="2"/>
      <c r="AF24" s="2" t="s">
        <v>114</v>
      </c>
      <c r="AG24" s="2" t="s">
        <v>115</v>
      </c>
      <c r="AH24" s="2"/>
      <c r="AI24" s="2" t="s">
        <v>473</v>
      </c>
    </row>
    <row r="25" spans="1:35" ht="27">
      <c r="A25" s="2" t="s">
        <v>498</v>
      </c>
      <c r="B25" s="2" t="s">
        <v>482</v>
      </c>
      <c r="C25" s="2" t="s">
        <v>483</v>
      </c>
      <c r="D25" s="2" t="s">
        <v>484</v>
      </c>
      <c r="E25" s="2">
        <v>6</v>
      </c>
      <c r="F25" s="2"/>
      <c r="G25" s="2"/>
      <c r="H25" s="2" t="s">
        <v>499</v>
      </c>
      <c r="I25" s="2" t="s">
        <v>33</v>
      </c>
      <c r="J25" s="2"/>
      <c r="K25" s="2" t="s">
        <v>121</v>
      </c>
      <c r="L25" s="2" t="s">
        <v>122</v>
      </c>
      <c r="M25" s="2" t="s">
        <v>123</v>
      </c>
      <c r="N25" s="2" t="s">
        <v>124</v>
      </c>
      <c r="O25" s="2" t="s">
        <v>125</v>
      </c>
      <c r="P25" s="2" t="s">
        <v>126</v>
      </c>
      <c r="Q25" s="2"/>
      <c r="R25" s="2">
        <v>37135</v>
      </c>
      <c r="S25" s="2" t="s">
        <v>104</v>
      </c>
      <c r="T25" s="2" t="s">
        <v>497</v>
      </c>
      <c r="U25" s="2" t="s">
        <v>487</v>
      </c>
      <c r="V25" s="2" t="s">
        <v>488</v>
      </c>
      <c r="W25" s="2"/>
      <c r="X25" s="2" t="s">
        <v>423</v>
      </c>
      <c r="Y25" s="2"/>
      <c r="Z25" s="2" t="s">
        <v>489</v>
      </c>
      <c r="AA25" s="2"/>
      <c r="AB25" s="2"/>
      <c r="AC25" s="2" t="s">
        <v>490</v>
      </c>
      <c r="AD25" s="2"/>
      <c r="AE25" s="2"/>
      <c r="AF25" s="2" t="s">
        <v>114</v>
      </c>
      <c r="AG25" s="2" t="s">
        <v>115</v>
      </c>
      <c r="AH25" s="2"/>
      <c r="AI25" s="2" t="s">
        <v>132</v>
      </c>
    </row>
    <row r="26" spans="1:35" ht="27">
      <c r="A26" s="2" t="s">
        <v>500</v>
      </c>
      <c r="B26" s="2" t="s">
        <v>482</v>
      </c>
      <c r="C26" s="2" t="s">
        <v>483</v>
      </c>
      <c r="D26" s="2" t="s">
        <v>484</v>
      </c>
      <c r="E26" s="2">
        <v>7</v>
      </c>
      <c r="F26" s="2"/>
      <c r="G26" s="2"/>
      <c r="H26" s="2" t="s">
        <v>501</v>
      </c>
      <c r="I26" s="2" t="s">
        <v>33</v>
      </c>
      <c r="J26" s="2"/>
      <c r="K26" s="2" t="s">
        <v>121</v>
      </c>
      <c r="L26" s="2" t="s">
        <v>122</v>
      </c>
      <c r="M26" s="2" t="s">
        <v>123</v>
      </c>
      <c r="N26" s="2" t="s">
        <v>124</v>
      </c>
      <c r="O26" s="2" t="s">
        <v>125</v>
      </c>
      <c r="P26" s="2" t="s">
        <v>126</v>
      </c>
      <c r="Q26" s="2"/>
      <c r="R26" s="2">
        <v>42005</v>
      </c>
      <c r="S26" s="2" t="s">
        <v>104</v>
      </c>
      <c r="T26" s="2" t="s">
        <v>497</v>
      </c>
      <c r="U26" s="2" t="s">
        <v>487</v>
      </c>
      <c r="V26" s="2" t="s">
        <v>488</v>
      </c>
      <c r="W26" s="2"/>
      <c r="X26" s="2" t="s">
        <v>423</v>
      </c>
      <c r="Y26" s="2"/>
      <c r="Z26" s="2" t="s">
        <v>489</v>
      </c>
      <c r="AA26" s="2"/>
      <c r="AB26" s="2"/>
      <c r="AC26" s="2" t="s">
        <v>490</v>
      </c>
      <c r="AD26" s="2"/>
      <c r="AE26" s="2"/>
      <c r="AF26" s="2" t="s">
        <v>114</v>
      </c>
      <c r="AG26" s="2" t="s">
        <v>115</v>
      </c>
      <c r="AH26" s="2"/>
      <c r="AI26" s="2" t="s">
        <v>132</v>
      </c>
    </row>
    <row r="27" spans="1:35" ht="27">
      <c r="A27" s="2" t="s">
        <v>505</v>
      </c>
      <c r="B27" s="2" t="s">
        <v>482</v>
      </c>
      <c r="C27" s="2" t="s">
        <v>483</v>
      </c>
      <c r="D27" s="2" t="s">
        <v>484</v>
      </c>
      <c r="E27" s="2">
        <v>9</v>
      </c>
      <c r="F27" s="2"/>
      <c r="G27" s="2"/>
      <c r="H27" s="2" t="s">
        <v>506</v>
      </c>
      <c r="I27" s="2" t="s">
        <v>33</v>
      </c>
      <c r="J27" s="2"/>
      <c r="K27" s="2" t="s">
        <v>121</v>
      </c>
      <c r="L27" s="2" t="s">
        <v>122</v>
      </c>
      <c r="M27" s="2" t="s">
        <v>123</v>
      </c>
      <c r="N27" s="2" t="s">
        <v>124</v>
      </c>
      <c r="O27" s="2" t="s">
        <v>125</v>
      </c>
      <c r="P27" s="2" t="s">
        <v>126</v>
      </c>
      <c r="Q27" s="2"/>
      <c r="R27" s="2">
        <v>41640</v>
      </c>
      <c r="S27" s="2" t="s">
        <v>104</v>
      </c>
      <c r="T27" s="2" t="s">
        <v>497</v>
      </c>
      <c r="U27" s="2" t="s">
        <v>487</v>
      </c>
      <c r="V27" s="2" t="s">
        <v>488</v>
      </c>
      <c r="W27" s="2"/>
      <c r="X27" s="2" t="s">
        <v>423</v>
      </c>
      <c r="Y27" s="2" t="s">
        <v>507</v>
      </c>
      <c r="Z27" s="2" t="s">
        <v>489</v>
      </c>
      <c r="AA27" s="2"/>
      <c r="AB27" s="2"/>
      <c r="AC27" s="2" t="s">
        <v>490</v>
      </c>
      <c r="AD27" s="2"/>
      <c r="AE27" s="2"/>
      <c r="AF27" s="2" t="s">
        <v>114</v>
      </c>
      <c r="AG27" s="2" t="s">
        <v>115</v>
      </c>
      <c r="AH27" s="2"/>
      <c r="AI27" s="2" t="s">
        <v>132</v>
      </c>
    </row>
    <row r="28" spans="1:35" ht="27">
      <c r="A28" s="2" t="s">
        <v>508</v>
      </c>
      <c r="B28" s="2" t="s">
        <v>482</v>
      </c>
      <c r="C28" s="2" t="s">
        <v>483</v>
      </c>
      <c r="D28" s="2" t="s">
        <v>484</v>
      </c>
      <c r="E28" s="2">
        <v>10</v>
      </c>
      <c r="F28" s="2"/>
      <c r="G28" s="2"/>
      <c r="H28" s="2" t="s">
        <v>509</v>
      </c>
      <c r="I28" s="2" t="s">
        <v>33</v>
      </c>
      <c r="J28" s="2"/>
      <c r="K28" s="2" t="s">
        <v>121</v>
      </c>
      <c r="L28" s="2" t="s">
        <v>122</v>
      </c>
      <c r="M28" s="2" t="s">
        <v>123</v>
      </c>
      <c r="N28" s="2" t="s">
        <v>124</v>
      </c>
      <c r="O28" s="2" t="s">
        <v>125</v>
      </c>
      <c r="P28" s="2" t="s">
        <v>126</v>
      </c>
      <c r="Q28" s="2"/>
      <c r="R28" s="2">
        <v>37500</v>
      </c>
      <c r="S28" s="2" t="s">
        <v>448</v>
      </c>
      <c r="T28" s="2" t="s">
        <v>510</v>
      </c>
      <c r="U28" s="2" t="s">
        <v>487</v>
      </c>
      <c r="V28" s="2" t="s">
        <v>488</v>
      </c>
      <c r="W28" s="2"/>
      <c r="X28" s="2" t="s">
        <v>423</v>
      </c>
      <c r="Y28" s="2"/>
      <c r="Z28" s="2" t="s">
        <v>489</v>
      </c>
      <c r="AA28" s="2"/>
      <c r="AB28" s="2"/>
      <c r="AC28" s="2" t="s">
        <v>490</v>
      </c>
      <c r="AD28" s="2"/>
      <c r="AE28" s="2"/>
      <c r="AF28" s="2" t="s">
        <v>114</v>
      </c>
      <c r="AG28" s="2" t="s">
        <v>115</v>
      </c>
      <c r="AH28" s="2"/>
      <c r="AI28" s="2" t="s">
        <v>132</v>
      </c>
    </row>
    <row r="29" spans="1:35" ht="27">
      <c r="A29" s="2" t="s">
        <v>536</v>
      </c>
      <c r="B29" s="2" t="s">
        <v>482</v>
      </c>
      <c r="C29" s="2" t="s">
        <v>483</v>
      </c>
      <c r="D29" s="2" t="s">
        <v>484</v>
      </c>
      <c r="E29" s="2">
        <v>19</v>
      </c>
      <c r="F29" s="2"/>
      <c r="G29" s="2"/>
      <c r="H29" s="2" t="s">
        <v>537</v>
      </c>
      <c r="I29" s="2" t="s">
        <v>33</v>
      </c>
      <c r="J29" s="2"/>
      <c r="K29" s="2" t="s">
        <v>121</v>
      </c>
      <c r="L29" s="2" t="s">
        <v>122</v>
      </c>
      <c r="M29" s="2" t="s">
        <v>123</v>
      </c>
      <c r="N29" s="2" t="s">
        <v>124</v>
      </c>
      <c r="O29" s="2" t="s">
        <v>125</v>
      </c>
      <c r="P29" s="2" t="s">
        <v>126</v>
      </c>
      <c r="Q29" s="2"/>
      <c r="R29" s="2"/>
      <c r="S29" s="2" t="s">
        <v>104</v>
      </c>
      <c r="T29" s="2" t="s">
        <v>538</v>
      </c>
      <c r="U29" s="2" t="s">
        <v>539</v>
      </c>
      <c r="V29" s="2"/>
      <c r="W29" s="2"/>
      <c r="X29" s="2" t="s">
        <v>532</v>
      </c>
      <c r="Y29" s="2"/>
      <c r="Z29" s="2" t="s">
        <v>533</v>
      </c>
      <c r="AA29" s="2"/>
      <c r="AB29" s="2"/>
      <c r="AC29" s="2" t="s">
        <v>540</v>
      </c>
      <c r="AD29" s="2"/>
      <c r="AE29" s="2"/>
      <c r="AF29" s="2" t="s">
        <v>114</v>
      </c>
      <c r="AG29" s="2" t="s">
        <v>115</v>
      </c>
      <c r="AH29" s="2"/>
      <c r="AI29" s="2" t="s">
        <v>132</v>
      </c>
    </row>
    <row r="30" spans="1:35" ht="27">
      <c r="A30" s="2" t="s">
        <v>546</v>
      </c>
      <c r="B30" s="2" t="s">
        <v>482</v>
      </c>
      <c r="C30" s="2" t="s">
        <v>483</v>
      </c>
      <c r="D30" s="2" t="s">
        <v>484</v>
      </c>
      <c r="E30" s="2">
        <v>21</v>
      </c>
      <c r="F30" s="2"/>
      <c r="G30" s="2"/>
      <c r="H30" s="2" t="s">
        <v>547</v>
      </c>
      <c r="I30" s="2" t="s">
        <v>33</v>
      </c>
      <c r="J30" s="2"/>
      <c r="K30" s="2" t="s">
        <v>121</v>
      </c>
      <c r="L30" s="2" t="s">
        <v>122</v>
      </c>
      <c r="M30" s="2" t="s">
        <v>123</v>
      </c>
      <c r="N30" s="2" t="s">
        <v>124</v>
      </c>
      <c r="O30" s="2" t="s">
        <v>125</v>
      </c>
      <c r="P30" s="2" t="s">
        <v>126</v>
      </c>
      <c r="Q30" s="2"/>
      <c r="R30" s="2">
        <v>42186</v>
      </c>
      <c r="S30" s="2" t="s">
        <v>104</v>
      </c>
      <c r="T30" s="2" t="s">
        <v>538</v>
      </c>
      <c r="U30" s="2" t="s">
        <v>539</v>
      </c>
      <c r="V30" s="2"/>
      <c r="W30" s="2"/>
      <c r="X30" s="2" t="s">
        <v>532</v>
      </c>
      <c r="Y30" s="2"/>
      <c r="Z30" s="2" t="s">
        <v>533</v>
      </c>
      <c r="AA30" s="2"/>
      <c r="AB30" s="2"/>
      <c r="AC30" s="2" t="s">
        <v>540</v>
      </c>
      <c r="AD30" s="2"/>
      <c r="AE30" s="2"/>
      <c r="AF30" s="2" t="s">
        <v>114</v>
      </c>
      <c r="AG30" s="2" t="s">
        <v>115</v>
      </c>
      <c r="AH30" s="2"/>
      <c r="AI30" s="2" t="s">
        <v>132</v>
      </c>
    </row>
    <row r="31" spans="1:35" ht="27">
      <c r="A31" s="2" t="s">
        <v>153</v>
      </c>
      <c r="B31" s="2" t="s">
        <v>91</v>
      </c>
      <c r="C31" s="2" t="s">
        <v>92</v>
      </c>
      <c r="D31" s="2" t="s">
        <v>93</v>
      </c>
      <c r="E31" s="2">
        <v>10</v>
      </c>
      <c r="F31" s="2" t="s">
        <v>94</v>
      </c>
      <c r="G31" s="2" t="s">
        <v>154</v>
      </c>
      <c r="H31" s="2" t="s">
        <v>155</v>
      </c>
      <c r="I31" s="2" t="s">
        <v>38</v>
      </c>
      <c r="J31" s="2"/>
      <c r="K31" s="2" t="s">
        <v>121</v>
      </c>
      <c r="L31" s="2" t="s">
        <v>156</v>
      </c>
      <c r="M31" s="2" t="s">
        <v>99</v>
      </c>
      <c r="N31" s="2" t="s">
        <v>157</v>
      </c>
      <c r="O31" s="2" t="s">
        <v>125</v>
      </c>
      <c r="P31" s="2" t="s">
        <v>158</v>
      </c>
      <c r="Q31" s="2"/>
      <c r="R31" s="2" t="s">
        <v>159</v>
      </c>
      <c r="S31" s="2" t="s">
        <v>104</v>
      </c>
      <c r="T31" s="2" t="s">
        <v>105</v>
      </c>
      <c r="U31" s="2" t="s">
        <v>160</v>
      </c>
      <c r="V31" s="2" t="s">
        <v>161</v>
      </c>
      <c r="W31" s="2" t="s">
        <v>107</v>
      </c>
      <c r="X31" s="2" t="s">
        <v>108</v>
      </c>
      <c r="Y31" s="2" t="s">
        <v>162</v>
      </c>
      <c r="Z31" s="2" t="s">
        <v>163</v>
      </c>
      <c r="AA31" s="2"/>
      <c r="AB31" s="2" t="s">
        <v>164</v>
      </c>
      <c r="AC31" s="2" t="s">
        <v>112</v>
      </c>
      <c r="AD31" s="2"/>
      <c r="AE31" s="2"/>
      <c r="AF31" s="2" t="s">
        <v>114</v>
      </c>
      <c r="AG31" s="2" t="s">
        <v>115</v>
      </c>
      <c r="AH31" s="2"/>
      <c r="AI31" s="2" t="s">
        <v>165</v>
      </c>
    </row>
    <row r="32" spans="1:35" ht="27">
      <c r="A32" s="2" t="s">
        <v>166</v>
      </c>
      <c r="B32" s="2" t="s">
        <v>91</v>
      </c>
      <c r="C32" s="2" t="s">
        <v>92</v>
      </c>
      <c r="D32" s="2" t="s">
        <v>93</v>
      </c>
      <c r="E32" s="2">
        <v>11</v>
      </c>
      <c r="F32" s="2" t="s">
        <v>94</v>
      </c>
      <c r="G32" s="2" t="s">
        <v>167</v>
      </c>
      <c r="H32" s="2" t="s">
        <v>168</v>
      </c>
      <c r="I32" s="2" t="s">
        <v>38</v>
      </c>
      <c r="J32" s="2"/>
      <c r="K32" s="2" t="s">
        <v>121</v>
      </c>
      <c r="L32" s="2" t="s">
        <v>156</v>
      </c>
      <c r="M32" s="2" t="s">
        <v>99</v>
      </c>
      <c r="N32" s="2" t="s">
        <v>157</v>
      </c>
      <c r="O32" s="2" t="s">
        <v>125</v>
      </c>
      <c r="P32" s="2" t="s">
        <v>158</v>
      </c>
      <c r="Q32" s="2"/>
      <c r="R32" s="2" t="s">
        <v>127</v>
      </c>
      <c r="S32" s="2" t="s">
        <v>169</v>
      </c>
      <c r="T32" s="2" t="s">
        <v>170</v>
      </c>
      <c r="U32" s="2" t="s">
        <v>171</v>
      </c>
      <c r="V32" s="2" t="s">
        <v>107</v>
      </c>
      <c r="W32" s="2"/>
      <c r="X32" s="2" t="s">
        <v>172</v>
      </c>
      <c r="Y32" s="2" t="s">
        <v>173</v>
      </c>
      <c r="Z32" s="2" t="s">
        <v>174</v>
      </c>
      <c r="AA32" s="2"/>
      <c r="AB32" s="2" t="s">
        <v>175</v>
      </c>
      <c r="AC32" s="2" t="s">
        <v>176</v>
      </c>
      <c r="AD32" s="2"/>
      <c r="AE32" s="2"/>
      <c r="AF32" s="2" t="s">
        <v>114</v>
      </c>
      <c r="AG32" s="2" t="s">
        <v>115</v>
      </c>
      <c r="AH32" s="2"/>
      <c r="AI32" s="2" t="s">
        <v>165</v>
      </c>
    </row>
    <row r="33" spans="1:35" ht="40.5">
      <c r="A33" s="2" t="s">
        <v>352</v>
      </c>
      <c r="B33" s="2" t="s">
        <v>310</v>
      </c>
      <c r="C33" s="2" t="s">
        <v>311</v>
      </c>
      <c r="D33" s="2" t="s">
        <v>312</v>
      </c>
      <c r="E33" s="2">
        <v>9</v>
      </c>
      <c r="F33" s="2" t="s">
        <v>344</v>
      </c>
      <c r="G33" s="2"/>
      <c r="H33" s="2" t="s">
        <v>353</v>
      </c>
      <c r="I33" s="2" t="s">
        <v>38</v>
      </c>
      <c r="J33" s="2"/>
      <c r="K33" s="2" t="s">
        <v>121</v>
      </c>
      <c r="L33" s="2" t="s">
        <v>156</v>
      </c>
      <c r="M33" s="2" t="s">
        <v>99</v>
      </c>
      <c r="N33" s="2" t="s">
        <v>157</v>
      </c>
      <c r="O33" s="2" t="s">
        <v>125</v>
      </c>
      <c r="P33" s="2" t="s">
        <v>158</v>
      </c>
      <c r="Q33" s="2"/>
      <c r="R33" s="2" t="s">
        <v>347</v>
      </c>
      <c r="S33" s="2" t="s">
        <v>315</v>
      </c>
      <c r="T33" s="2" t="s">
        <v>348</v>
      </c>
      <c r="U33" s="2" t="s">
        <v>349</v>
      </c>
      <c r="V33" s="2" t="s">
        <v>161</v>
      </c>
      <c r="W33" s="2" t="s">
        <v>318</v>
      </c>
      <c r="X33" s="2" t="s">
        <v>319</v>
      </c>
      <c r="Y33" s="2"/>
      <c r="Z33" s="2" t="s">
        <v>320</v>
      </c>
      <c r="AA33" s="2" t="s">
        <v>350</v>
      </c>
      <c r="AB33" s="2" t="s">
        <v>351</v>
      </c>
      <c r="AC33" s="2"/>
      <c r="AD33" s="2"/>
      <c r="AE33" s="2"/>
      <c r="AF33" s="2" t="s">
        <v>114</v>
      </c>
      <c r="AG33" s="2" t="s">
        <v>115</v>
      </c>
      <c r="AH33" s="2"/>
      <c r="AI33" s="2" t="s">
        <v>165</v>
      </c>
    </row>
    <row r="34" spans="1:35" ht="40.5">
      <c r="A34" s="2" t="s">
        <v>354</v>
      </c>
      <c r="B34" s="2" t="s">
        <v>310</v>
      </c>
      <c r="C34" s="2" t="s">
        <v>311</v>
      </c>
      <c r="D34" s="2" t="s">
        <v>312</v>
      </c>
      <c r="E34" s="2">
        <v>10</v>
      </c>
      <c r="F34" s="2" t="s">
        <v>344</v>
      </c>
      <c r="G34" s="2"/>
      <c r="H34" s="2" t="s">
        <v>355</v>
      </c>
      <c r="I34" s="2" t="s">
        <v>38</v>
      </c>
      <c r="J34" s="2"/>
      <c r="K34" s="2" t="s">
        <v>121</v>
      </c>
      <c r="L34" s="2" t="s">
        <v>156</v>
      </c>
      <c r="M34" s="2" t="s">
        <v>99</v>
      </c>
      <c r="N34" s="2" t="s">
        <v>157</v>
      </c>
      <c r="O34" s="2" t="s">
        <v>125</v>
      </c>
      <c r="P34" s="2" t="s">
        <v>158</v>
      </c>
      <c r="Q34" s="2"/>
      <c r="R34" s="2" t="s">
        <v>356</v>
      </c>
      <c r="S34" s="2" t="s">
        <v>315</v>
      </c>
      <c r="T34" s="2" t="s">
        <v>348</v>
      </c>
      <c r="U34" s="2" t="s">
        <v>336</v>
      </c>
      <c r="V34" s="2" t="s">
        <v>161</v>
      </c>
      <c r="W34" s="2" t="s">
        <v>318</v>
      </c>
      <c r="X34" s="2" t="s">
        <v>319</v>
      </c>
      <c r="Y34" s="2"/>
      <c r="Z34" s="2" t="s">
        <v>320</v>
      </c>
      <c r="AA34" s="2" t="s">
        <v>350</v>
      </c>
      <c r="AB34" s="2" t="s">
        <v>351</v>
      </c>
      <c r="AC34" s="2"/>
      <c r="AD34" s="2"/>
      <c r="AE34" s="2"/>
      <c r="AF34" s="2" t="s">
        <v>114</v>
      </c>
      <c r="AG34" s="2" t="s">
        <v>115</v>
      </c>
      <c r="AH34" s="2"/>
      <c r="AI34" s="2" t="s">
        <v>165</v>
      </c>
    </row>
    <row r="35" spans="1:35" ht="40.5">
      <c r="A35" s="2" t="s">
        <v>357</v>
      </c>
      <c r="B35" s="2" t="s">
        <v>310</v>
      </c>
      <c r="C35" s="2" t="s">
        <v>311</v>
      </c>
      <c r="D35" s="2" t="s">
        <v>312</v>
      </c>
      <c r="E35" s="2">
        <v>11</v>
      </c>
      <c r="F35" s="2" t="s">
        <v>344</v>
      </c>
      <c r="G35" s="2"/>
      <c r="H35" s="2" t="s">
        <v>358</v>
      </c>
      <c r="I35" s="2" t="s">
        <v>38</v>
      </c>
      <c r="J35" s="2"/>
      <c r="K35" s="2" t="s">
        <v>121</v>
      </c>
      <c r="L35" s="2" t="s">
        <v>156</v>
      </c>
      <c r="M35" s="2" t="s">
        <v>99</v>
      </c>
      <c r="N35" s="2" t="s">
        <v>157</v>
      </c>
      <c r="O35" s="2" t="s">
        <v>125</v>
      </c>
      <c r="P35" s="2" t="s">
        <v>158</v>
      </c>
      <c r="Q35" s="2"/>
      <c r="R35" s="2" t="s">
        <v>359</v>
      </c>
      <c r="S35" s="2" t="s">
        <v>360</v>
      </c>
      <c r="T35" s="2" t="s">
        <v>361</v>
      </c>
      <c r="U35" s="2" t="s">
        <v>362</v>
      </c>
      <c r="V35" s="2" t="s">
        <v>161</v>
      </c>
      <c r="W35" s="2" t="s">
        <v>161</v>
      </c>
      <c r="X35" s="2" t="s">
        <v>319</v>
      </c>
      <c r="Y35" s="2"/>
      <c r="Z35" s="2" t="s">
        <v>363</v>
      </c>
      <c r="AA35" s="2" t="s">
        <v>364</v>
      </c>
      <c r="AB35" s="2" t="s">
        <v>365</v>
      </c>
      <c r="AC35" s="2"/>
      <c r="AD35" s="2"/>
      <c r="AE35" s="2"/>
      <c r="AF35" s="2" t="s">
        <v>114</v>
      </c>
      <c r="AG35" s="2" t="s">
        <v>115</v>
      </c>
      <c r="AH35" s="2"/>
      <c r="AI35" s="2" t="s">
        <v>165</v>
      </c>
    </row>
    <row r="36" spans="1:35" ht="54">
      <c r="A36" s="2" t="s">
        <v>366</v>
      </c>
      <c r="B36" s="2" t="s">
        <v>310</v>
      </c>
      <c r="C36" s="2" t="s">
        <v>311</v>
      </c>
      <c r="D36" s="2" t="s">
        <v>312</v>
      </c>
      <c r="E36" s="2">
        <v>12</v>
      </c>
      <c r="F36" s="2" t="s">
        <v>367</v>
      </c>
      <c r="G36" s="2"/>
      <c r="H36" s="2" t="s">
        <v>368</v>
      </c>
      <c r="I36" s="2" t="s">
        <v>38</v>
      </c>
      <c r="J36" s="2" t="s">
        <v>44</v>
      </c>
      <c r="K36" s="2" t="s">
        <v>121</v>
      </c>
      <c r="L36" s="2" t="s">
        <v>156</v>
      </c>
      <c r="M36" s="2" t="s">
        <v>99</v>
      </c>
      <c r="N36" s="2" t="s">
        <v>157</v>
      </c>
      <c r="O36" s="2" t="s">
        <v>125</v>
      </c>
      <c r="P36" s="2" t="s">
        <v>158</v>
      </c>
      <c r="Q36" s="2"/>
      <c r="R36" s="2" t="s">
        <v>369</v>
      </c>
      <c r="S36" s="2" t="s">
        <v>315</v>
      </c>
      <c r="T36" s="2" t="s">
        <v>370</v>
      </c>
      <c r="U36" s="2" t="s">
        <v>371</v>
      </c>
      <c r="V36" s="2" t="s">
        <v>107</v>
      </c>
      <c r="W36" s="2" t="s">
        <v>161</v>
      </c>
      <c r="X36" s="2" t="s">
        <v>319</v>
      </c>
      <c r="Y36" s="2"/>
      <c r="Z36" s="2" t="s">
        <v>372</v>
      </c>
      <c r="AA36" s="2" t="s">
        <v>373</v>
      </c>
      <c r="AB36" s="2" t="s">
        <v>374</v>
      </c>
      <c r="AC36" s="2"/>
      <c r="AD36" s="2"/>
      <c r="AE36" s="2"/>
      <c r="AF36" s="2" t="s">
        <v>114</v>
      </c>
      <c r="AG36" s="2" t="s">
        <v>115</v>
      </c>
      <c r="AH36" s="2"/>
      <c r="AI36" s="2" t="s">
        <v>375</v>
      </c>
    </row>
    <row r="37" spans="1:35" ht="40.9">
      <c r="A37" s="2" t="s">
        <v>90</v>
      </c>
      <c r="B37" s="2" t="s">
        <v>91</v>
      </c>
      <c r="C37" s="2" t="s">
        <v>92</v>
      </c>
      <c r="D37" s="2" t="s">
        <v>93</v>
      </c>
      <c r="E37" s="2">
        <v>6</v>
      </c>
      <c r="F37" s="2" t="s">
        <v>94</v>
      </c>
      <c r="G37" s="2" t="s">
        <v>95</v>
      </c>
      <c r="H37" s="2" t="s">
        <v>96</v>
      </c>
      <c r="I37" s="2" t="s">
        <v>44</v>
      </c>
      <c r="J37" s="2"/>
      <c r="K37" s="2" t="s">
        <v>97</v>
      </c>
      <c r="L37" s="2" t="s">
        <v>98</v>
      </c>
      <c r="M37" s="2" t="s">
        <v>99</v>
      </c>
      <c r="N37" s="2" t="s">
        <v>100</v>
      </c>
      <c r="O37" s="2" t="s">
        <v>101</v>
      </c>
      <c r="P37" s="2" t="s">
        <v>102</v>
      </c>
      <c r="Q37" s="2"/>
      <c r="R37" s="2" t="s">
        <v>103</v>
      </c>
      <c r="S37" s="2" t="s">
        <v>104</v>
      </c>
      <c r="T37" s="2" t="s">
        <v>105</v>
      </c>
      <c r="U37" s="2" t="s">
        <v>106</v>
      </c>
      <c r="V37" s="2" t="s">
        <v>107</v>
      </c>
      <c r="W37" s="2" t="s">
        <v>107</v>
      </c>
      <c r="X37" s="2" t="s">
        <v>108</v>
      </c>
      <c r="Y37" s="2" t="s">
        <v>109</v>
      </c>
      <c r="Z37" s="2" t="s">
        <v>110</v>
      </c>
      <c r="AA37" s="2"/>
      <c r="AB37" s="2" t="s">
        <v>111</v>
      </c>
      <c r="AC37" s="2" t="s">
        <v>112</v>
      </c>
      <c r="AD37" s="2"/>
      <c r="AE37" s="2" t="s">
        <v>113</v>
      </c>
      <c r="AF37" s="2" t="s">
        <v>114</v>
      </c>
      <c r="AG37" s="2" t="s">
        <v>115</v>
      </c>
      <c r="AH37" s="2" t="s">
        <v>116</v>
      </c>
      <c r="AI37" s="2" t="s">
        <v>117</v>
      </c>
    </row>
    <row r="38" spans="1:35" ht="40.5">
      <c r="A38" s="2" t="s">
        <v>379</v>
      </c>
      <c r="B38" s="2" t="s">
        <v>310</v>
      </c>
      <c r="C38" s="2" t="s">
        <v>311</v>
      </c>
      <c r="D38" s="2" t="s">
        <v>312</v>
      </c>
      <c r="E38" s="2">
        <v>14</v>
      </c>
      <c r="F38" s="2" t="s">
        <v>380</v>
      </c>
      <c r="G38" s="2"/>
      <c r="H38" s="2" t="s">
        <v>381</v>
      </c>
      <c r="I38" s="2" t="s">
        <v>44</v>
      </c>
      <c r="J38" s="2" t="s">
        <v>50</v>
      </c>
      <c r="K38" s="2" t="s">
        <v>121</v>
      </c>
      <c r="L38" s="2" t="s">
        <v>98</v>
      </c>
      <c r="M38" s="2" t="s">
        <v>99</v>
      </c>
      <c r="N38" s="2" t="s">
        <v>157</v>
      </c>
      <c r="O38" s="2" t="s">
        <v>382</v>
      </c>
      <c r="P38" s="2" t="s">
        <v>383</v>
      </c>
      <c r="Q38" s="2"/>
      <c r="R38" s="2" t="s">
        <v>384</v>
      </c>
      <c r="S38" s="2" t="s">
        <v>315</v>
      </c>
      <c r="T38" s="2" t="s">
        <v>385</v>
      </c>
      <c r="U38" s="2" t="s">
        <v>386</v>
      </c>
      <c r="V38" s="2" t="s">
        <v>161</v>
      </c>
      <c r="W38" s="2" t="s">
        <v>318</v>
      </c>
      <c r="X38" s="2" t="s">
        <v>387</v>
      </c>
      <c r="Y38" s="2"/>
      <c r="Z38" s="2" t="s">
        <v>388</v>
      </c>
      <c r="AA38" s="2" t="s">
        <v>389</v>
      </c>
      <c r="AB38" s="2" t="s">
        <v>390</v>
      </c>
      <c r="AC38" s="2"/>
      <c r="AD38" s="2"/>
      <c r="AE38" s="2"/>
      <c r="AF38" s="2" t="s">
        <v>114</v>
      </c>
      <c r="AG38" s="2" t="s">
        <v>115</v>
      </c>
      <c r="AH38" s="2"/>
      <c r="AI38" s="2" t="s">
        <v>391</v>
      </c>
    </row>
    <row r="39" spans="1:35" ht="27">
      <c r="A39" s="2" t="s">
        <v>511</v>
      </c>
      <c r="B39" s="2" t="s">
        <v>482</v>
      </c>
      <c r="C39" s="2" t="s">
        <v>483</v>
      </c>
      <c r="D39" s="2" t="s">
        <v>484</v>
      </c>
      <c r="E39" s="2">
        <v>11</v>
      </c>
      <c r="F39" s="2"/>
      <c r="G39" s="2"/>
      <c r="H39" s="2" t="s">
        <v>512</v>
      </c>
      <c r="I39" s="2" t="s">
        <v>44</v>
      </c>
      <c r="J39" s="2" t="s">
        <v>50</v>
      </c>
      <c r="K39" s="2" t="s">
        <v>121</v>
      </c>
      <c r="L39" s="2" t="s">
        <v>98</v>
      </c>
      <c r="M39" s="2" t="s">
        <v>99</v>
      </c>
      <c r="N39" s="2" t="s">
        <v>157</v>
      </c>
      <c r="O39" s="2" t="s">
        <v>382</v>
      </c>
      <c r="P39" s="2" t="s">
        <v>383</v>
      </c>
      <c r="Q39" s="2"/>
      <c r="R39" s="2">
        <v>41275</v>
      </c>
      <c r="S39" s="2" t="s">
        <v>104</v>
      </c>
      <c r="T39" s="2" t="s">
        <v>513</v>
      </c>
      <c r="U39" s="2" t="s">
        <v>514</v>
      </c>
      <c r="V39" s="2" t="s">
        <v>515</v>
      </c>
      <c r="W39" s="2"/>
      <c r="X39" s="2" t="s">
        <v>423</v>
      </c>
      <c r="Y39" s="2"/>
      <c r="Z39" s="2" t="s">
        <v>489</v>
      </c>
      <c r="AA39" s="2"/>
      <c r="AB39" s="2"/>
      <c r="AC39" s="2" t="s">
        <v>516</v>
      </c>
      <c r="AD39" s="2"/>
      <c r="AE39" s="2"/>
      <c r="AF39" s="2" t="s">
        <v>114</v>
      </c>
      <c r="AG39" s="2" t="s">
        <v>115</v>
      </c>
      <c r="AH39" s="2"/>
      <c r="AI39" s="2" t="s">
        <v>391</v>
      </c>
    </row>
    <row r="40" spans="1:35" ht="27">
      <c r="A40" s="2" t="s">
        <v>517</v>
      </c>
      <c r="B40" s="2" t="s">
        <v>482</v>
      </c>
      <c r="C40" s="2" t="s">
        <v>483</v>
      </c>
      <c r="D40" s="2" t="s">
        <v>484</v>
      </c>
      <c r="E40" s="2">
        <v>12</v>
      </c>
      <c r="F40" s="2"/>
      <c r="G40" s="2"/>
      <c r="H40" s="2" t="s">
        <v>518</v>
      </c>
      <c r="I40" s="2" t="s">
        <v>44</v>
      </c>
      <c r="J40" s="2" t="s">
        <v>50</v>
      </c>
      <c r="K40" s="2" t="s">
        <v>121</v>
      </c>
      <c r="L40" s="2" t="s">
        <v>98</v>
      </c>
      <c r="M40" s="2" t="s">
        <v>99</v>
      </c>
      <c r="N40" s="2" t="s">
        <v>157</v>
      </c>
      <c r="O40" s="2" t="s">
        <v>382</v>
      </c>
      <c r="P40" s="2" t="s">
        <v>383</v>
      </c>
      <c r="Q40" s="2"/>
      <c r="R40" s="2">
        <v>41275</v>
      </c>
      <c r="S40" s="2" t="s">
        <v>104</v>
      </c>
      <c r="T40" s="2" t="s">
        <v>513</v>
      </c>
      <c r="U40" s="2" t="s">
        <v>519</v>
      </c>
      <c r="V40" s="2" t="s">
        <v>161</v>
      </c>
      <c r="W40" s="2"/>
      <c r="X40" s="2" t="s">
        <v>423</v>
      </c>
      <c r="Y40" s="2"/>
      <c r="Z40" s="2" t="s">
        <v>489</v>
      </c>
      <c r="AA40" s="2"/>
      <c r="AB40" s="2"/>
      <c r="AC40" s="2" t="s">
        <v>516</v>
      </c>
      <c r="AD40" s="2"/>
      <c r="AE40" s="2"/>
      <c r="AF40" s="2" t="s">
        <v>114</v>
      </c>
      <c r="AG40" s="2" t="s">
        <v>115</v>
      </c>
      <c r="AH40" s="2"/>
      <c r="AI40" s="2" t="s">
        <v>391</v>
      </c>
    </row>
    <row r="41" spans="1:35" ht="27">
      <c r="A41" s="2" t="s">
        <v>520</v>
      </c>
      <c r="B41" s="2" t="s">
        <v>482</v>
      </c>
      <c r="C41" s="2" t="s">
        <v>483</v>
      </c>
      <c r="D41" s="2" t="s">
        <v>484</v>
      </c>
      <c r="E41" s="2">
        <v>13</v>
      </c>
      <c r="F41" s="2"/>
      <c r="G41" s="2"/>
      <c r="H41" s="2" t="s">
        <v>521</v>
      </c>
      <c r="I41" s="2" t="s">
        <v>44</v>
      </c>
      <c r="J41" s="2" t="s">
        <v>50</v>
      </c>
      <c r="K41" s="2" t="s">
        <v>121</v>
      </c>
      <c r="L41" s="2" t="s">
        <v>98</v>
      </c>
      <c r="M41" s="2" t="s">
        <v>99</v>
      </c>
      <c r="N41" s="2" t="s">
        <v>157</v>
      </c>
      <c r="O41" s="2" t="s">
        <v>382</v>
      </c>
      <c r="P41" s="2" t="s">
        <v>383</v>
      </c>
      <c r="Q41" s="2"/>
      <c r="R41" s="2">
        <v>41275</v>
      </c>
      <c r="S41" s="2" t="s">
        <v>104</v>
      </c>
      <c r="T41" s="2" t="s">
        <v>513</v>
      </c>
      <c r="U41" s="2" t="s">
        <v>522</v>
      </c>
      <c r="V41" s="2" t="s">
        <v>161</v>
      </c>
      <c r="W41" s="2"/>
      <c r="X41" s="2" t="s">
        <v>423</v>
      </c>
      <c r="Y41" s="2"/>
      <c r="Z41" s="2" t="s">
        <v>489</v>
      </c>
      <c r="AA41" s="2"/>
      <c r="AB41" s="2"/>
      <c r="AC41" s="2" t="s">
        <v>516</v>
      </c>
      <c r="AD41" s="2"/>
      <c r="AE41" s="2"/>
      <c r="AF41" s="2" t="s">
        <v>114</v>
      </c>
      <c r="AG41" s="2" t="s">
        <v>115</v>
      </c>
      <c r="AH41" s="2"/>
      <c r="AI41" s="2" t="s">
        <v>391</v>
      </c>
    </row>
    <row r="42" spans="1:35" ht="40.5">
      <c r="A42" s="2" t="s">
        <v>414</v>
      </c>
      <c r="B42" s="2" t="s">
        <v>310</v>
      </c>
      <c r="C42" s="2" t="s">
        <v>311</v>
      </c>
      <c r="D42" s="2" t="s">
        <v>312</v>
      </c>
      <c r="E42" s="2">
        <v>20</v>
      </c>
      <c r="F42" s="2" t="s">
        <v>415</v>
      </c>
      <c r="G42" s="2"/>
      <c r="H42" s="2" t="s">
        <v>416</v>
      </c>
      <c r="I42" s="2" t="s">
        <v>50</v>
      </c>
      <c r="J42" s="2"/>
      <c r="K42" s="2" t="s">
        <v>121</v>
      </c>
      <c r="L42" s="2" t="s">
        <v>51</v>
      </c>
      <c r="M42" s="2" t="s">
        <v>123</v>
      </c>
      <c r="N42" s="2" t="s">
        <v>124</v>
      </c>
      <c r="O42" s="2" t="s">
        <v>125</v>
      </c>
      <c r="P42" s="2" t="s">
        <v>417</v>
      </c>
      <c r="Q42" s="2"/>
      <c r="R42" s="2" t="s">
        <v>418</v>
      </c>
      <c r="S42" s="2" t="s">
        <v>419</v>
      </c>
      <c r="T42" s="2" t="s">
        <v>420</v>
      </c>
      <c r="U42" s="2" t="s">
        <v>421</v>
      </c>
      <c r="V42" s="2" t="s">
        <v>161</v>
      </c>
      <c r="W42" s="2" t="s">
        <v>422</v>
      </c>
      <c r="X42" s="2" t="s">
        <v>423</v>
      </c>
      <c r="Y42" s="2"/>
      <c r="Z42" s="2" t="s">
        <v>424</v>
      </c>
      <c r="AA42" s="2" t="s">
        <v>425</v>
      </c>
      <c r="AB42" s="2" t="s">
        <v>426</v>
      </c>
      <c r="AC42" s="2"/>
      <c r="AD42" s="2"/>
      <c r="AE42" s="2" t="s">
        <v>427</v>
      </c>
      <c r="AF42" s="2" t="s">
        <v>114</v>
      </c>
      <c r="AG42" s="2" t="s">
        <v>115</v>
      </c>
      <c r="AH42" s="2"/>
      <c r="AI42" s="2" t="s">
        <v>428</v>
      </c>
    </row>
    <row r="43" spans="1:35" ht="40.5">
      <c r="A43" s="2" t="s">
        <v>429</v>
      </c>
      <c r="B43" s="2" t="s">
        <v>310</v>
      </c>
      <c r="C43" s="2" t="s">
        <v>311</v>
      </c>
      <c r="D43" s="2" t="s">
        <v>312</v>
      </c>
      <c r="E43" s="2">
        <v>21</v>
      </c>
      <c r="F43" s="2" t="s">
        <v>415</v>
      </c>
      <c r="G43" s="2"/>
      <c r="H43" s="2" t="s">
        <v>430</v>
      </c>
      <c r="I43" s="2" t="s">
        <v>50</v>
      </c>
      <c r="J43" s="2"/>
      <c r="K43" s="2" t="s">
        <v>121</v>
      </c>
      <c r="L43" s="2" t="s">
        <v>51</v>
      </c>
      <c r="M43" s="2" t="s">
        <v>123</v>
      </c>
      <c r="N43" s="2" t="s">
        <v>124</v>
      </c>
      <c r="O43" s="2" t="s">
        <v>125</v>
      </c>
      <c r="P43" s="2" t="s">
        <v>417</v>
      </c>
      <c r="Q43" s="2"/>
      <c r="R43" s="2" t="s">
        <v>431</v>
      </c>
      <c r="S43" s="2" t="s">
        <v>432</v>
      </c>
      <c r="T43" s="2" t="s">
        <v>433</v>
      </c>
      <c r="U43" s="2" t="s">
        <v>421</v>
      </c>
      <c r="V43" s="2" t="s">
        <v>161</v>
      </c>
      <c r="W43" s="2" t="s">
        <v>422</v>
      </c>
      <c r="X43" s="2" t="s">
        <v>423</v>
      </c>
      <c r="Y43" s="2"/>
      <c r="Z43" s="2" t="s">
        <v>434</v>
      </c>
      <c r="AA43" s="2" t="s">
        <v>425</v>
      </c>
      <c r="AB43" s="2" t="s">
        <v>435</v>
      </c>
      <c r="AC43" s="2"/>
      <c r="AD43" s="2"/>
      <c r="AE43" s="2"/>
      <c r="AF43" s="2" t="s">
        <v>114</v>
      </c>
      <c r="AG43" s="2" t="s">
        <v>115</v>
      </c>
      <c r="AH43" s="2"/>
      <c r="AI43" s="2" t="s">
        <v>428</v>
      </c>
    </row>
    <row r="44" spans="1:35" ht="40.5">
      <c r="A44" s="2" t="s">
        <v>436</v>
      </c>
      <c r="B44" s="2" t="s">
        <v>310</v>
      </c>
      <c r="C44" s="2" t="s">
        <v>311</v>
      </c>
      <c r="D44" s="2" t="s">
        <v>312</v>
      </c>
      <c r="E44" s="2">
        <v>22</v>
      </c>
      <c r="F44" s="2" t="s">
        <v>415</v>
      </c>
      <c r="G44" s="2"/>
      <c r="H44" s="2" t="s">
        <v>437</v>
      </c>
      <c r="I44" s="2" t="s">
        <v>50</v>
      </c>
      <c r="J44" s="2"/>
      <c r="K44" s="2" t="s">
        <v>121</v>
      </c>
      <c r="L44" s="2" t="s">
        <v>51</v>
      </c>
      <c r="M44" s="2" t="s">
        <v>123</v>
      </c>
      <c r="N44" s="2" t="s">
        <v>124</v>
      </c>
      <c r="O44" s="2" t="s">
        <v>125</v>
      </c>
      <c r="P44" s="2" t="s">
        <v>417</v>
      </c>
      <c r="Q44" s="2"/>
      <c r="R44" s="2" t="s">
        <v>438</v>
      </c>
      <c r="S44" s="2" t="s">
        <v>432</v>
      </c>
      <c r="T44" s="2" t="s">
        <v>433</v>
      </c>
      <c r="U44" s="2" t="s">
        <v>421</v>
      </c>
      <c r="V44" s="2" t="s">
        <v>161</v>
      </c>
      <c r="W44" s="2" t="s">
        <v>422</v>
      </c>
      <c r="X44" s="2" t="s">
        <v>423</v>
      </c>
      <c r="Y44" s="2"/>
      <c r="Z44" s="2" t="s">
        <v>434</v>
      </c>
      <c r="AA44" s="2" t="s">
        <v>425</v>
      </c>
      <c r="AB44" s="2" t="s">
        <v>439</v>
      </c>
      <c r="AC44" s="2"/>
      <c r="AD44" s="2"/>
      <c r="AE44" s="2"/>
      <c r="AF44" s="2" t="s">
        <v>114</v>
      </c>
      <c r="AG44" s="2" t="s">
        <v>115</v>
      </c>
      <c r="AH44" s="2"/>
      <c r="AI44" s="2" t="s">
        <v>428</v>
      </c>
    </row>
    <row r="45" spans="1:35" ht="40.5">
      <c r="A45" s="2" t="s">
        <v>440</v>
      </c>
      <c r="B45" s="2" t="s">
        <v>310</v>
      </c>
      <c r="C45" s="2" t="s">
        <v>311</v>
      </c>
      <c r="D45" s="2" t="s">
        <v>312</v>
      </c>
      <c r="E45" s="2">
        <v>23</v>
      </c>
      <c r="F45" s="2" t="s">
        <v>415</v>
      </c>
      <c r="G45" s="2"/>
      <c r="H45" s="2" t="s">
        <v>441</v>
      </c>
      <c r="I45" s="2" t="s">
        <v>50</v>
      </c>
      <c r="J45" s="2"/>
      <c r="K45" s="2" t="s">
        <v>121</v>
      </c>
      <c r="L45" s="2" t="s">
        <v>51</v>
      </c>
      <c r="M45" s="2" t="s">
        <v>123</v>
      </c>
      <c r="N45" s="2" t="s">
        <v>124</v>
      </c>
      <c r="O45" s="2" t="s">
        <v>125</v>
      </c>
      <c r="P45" s="2" t="s">
        <v>417</v>
      </c>
      <c r="Q45" s="2"/>
      <c r="R45" s="2" t="s">
        <v>442</v>
      </c>
      <c r="S45" s="2" t="s">
        <v>315</v>
      </c>
      <c r="T45" s="2" t="s">
        <v>443</v>
      </c>
      <c r="U45" s="2" t="s">
        <v>421</v>
      </c>
      <c r="V45" s="2" t="s">
        <v>161</v>
      </c>
      <c r="W45" s="2" t="s">
        <v>422</v>
      </c>
      <c r="X45" s="2" t="s">
        <v>423</v>
      </c>
      <c r="Y45" s="2"/>
      <c r="Z45" s="2" t="s">
        <v>434</v>
      </c>
      <c r="AA45" s="2" t="s">
        <v>425</v>
      </c>
      <c r="AB45" s="2" t="s">
        <v>444</v>
      </c>
      <c r="AC45" s="2"/>
      <c r="AD45" s="2"/>
      <c r="AE45" s="2"/>
      <c r="AF45" s="2" t="s">
        <v>114</v>
      </c>
      <c r="AG45" s="2" t="s">
        <v>115</v>
      </c>
      <c r="AH45" s="2"/>
      <c r="AI45" s="2" t="s">
        <v>428</v>
      </c>
    </row>
    <row r="46" spans="1:35" ht="54">
      <c r="A46" s="2" t="s">
        <v>445</v>
      </c>
      <c r="B46" s="2" t="s">
        <v>310</v>
      </c>
      <c r="C46" s="2" t="s">
        <v>311</v>
      </c>
      <c r="D46" s="2" t="s">
        <v>312</v>
      </c>
      <c r="E46" s="2">
        <v>24</v>
      </c>
      <c r="F46" s="2" t="s">
        <v>415</v>
      </c>
      <c r="G46" s="2"/>
      <c r="H46" s="2" t="s">
        <v>446</v>
      </c>
      <c r="I46" s="2" t="s">
        <v>50</v>
      </c>
      <c r="J46" s="2"/>
      <c r="K46" s="2" t="s">
        <v>121</v>
      </c>
      <c r="L46" s="2" t="s">
        <v>51</v>
      </c>
      <c r="M46" s="2" t="s">
        <v>123</v>
      </c>
      <c r="N46" s="2" t="s">
        <v>124</v>
      </c>
      <c r="O46" s="2" t="s">
        <v>125</v>
      </c>
      <c r="P46" s="2" t="s">
        <v>417</v>
      </c>
      <c r="Q46" s="2"/>
      <c r="R46" s="2" t="s">
        <v>447</v>
      </c>
      <c r="S46" s="2" t="s">
        <v>448</v>
      </c>
      <c r="T46" s="2" t="s">
        <v>449</v>
      </c>
      <c r="U46" s="2" t="s">
        <v>421</v>
      </c>
      <c r="V46" s="2" t="s">
        <v>161</v>
      </c>
      <c r="W46" s="2" t="s">
        <v>422</v>
      </c>
      <c r="X46" s="2" t="s">
        <v>423</v>
      </c>
      <c r="Y46" s="2"/>
      <c r="Z46" s="2" t="s">
        <v>434</v>
      </c>
      <c r="AA46" s="2" t="s">
        <v>425</v>
      </c>
      <c r="AB46" s="2" t="s">
        <v>450</v>
      </c>
      <c r="AC46" s="2"/>
      <c r="AD46" s="2"/>
      <c r="AE46" s="2"/>
      <c r="AF46" s="2" t="s">
        <v>114</v>
      </c>
      <c r="AG46" s="2" t="s">
        <v>115</v>
      </c>
      <c r="AH46" s="2"/>
      <c r="AI46" s="2" t="s">
        <v>428</v>
      </c>
    </row>
    <row r="47" spans="1:35" ht="40.5">
      <c r="A47" s="2" t="s">
        <v>451</v>
      </c>
      <c r="B47" s="2" t="s">
        <v>310</v>
      </c>
      <c r="C47" s="2" t="s">
        <v>311</v>
      </c>
      <c r="D47" s="2" t="s">
        <v>312</v>
      </c>
      <c r="E47" s="2">
        <v>25</v>
      </c>
      <c r="F47" s="2" t="s">
        <v>452</v>
      </c>
      <c r="G47" s="2"/>
      <c r="H47" s="2" t="s">
        <v>453</v>
      </c>
      <c r="I47" s="2" t="s">
        <v>50</v>
      </c>
      <c r="J47" s="2"/>
      <c r="K47" s="2" t="s">
        <v>121</v>
      </c>
      <c r="L47" s="2" t="s">
        <v>51</v>
      </c>
      <c r="M47" s="2" t="s">
        <v>123</v>
      </c>
      <c r="N47" s="2" t="s">
        <v>124</v>
      </c>
      <c r="O47" s="2" t="s">
        <v>125</v>
      </c>
      <c r="P47" s="2" t="s">
        <v>417</v>
      </c>
      <c r="Q47" s="2"/>
      <c r="R47" s="2" t="s">
        <v>454</v>
      </c>
      <c r="S47" s="2" t="s">
        <v>315</v>
      </c>
      <c r="T47" s="2" t="s">
        <v>455</v>
      </c>
      <c r="U47" s="2" t="s">
        <v>421</v>
      </c>
      <c r="V47" s="2" t="s">
        <v>161</v>
      </c>
      <c r="W47" s="2" t="s">
        <v>422</v>
      </c>
      <c r="X47" s="2"/>
      <c r="Y47" s="2"/>
      <c r="Z47" s="2" t="s">
        <v>456</v>
      </c>
      <c r="AA47" s="2" t="s">
        <v>425</v>
      </c>
      <c r="AB47" s="2" t="s">
        <v>457</v>
      </c>
      <c r="AC47" s="2"/>
      <c r="AD47" s="2"/>
      <c r="AE47" s="2"/>
      <c r="AF47" s="2" t="s">
        <v>114</v>
      </c>
      <c r="AG47" s="2" t="s">
        <v>115</v>
      </c>
      <c r="AH47" s="2"/>
      <c r="AI47" s="2" t="s">
        <v>428</v>
      </c>
    </row>
    <row r="48" spans="1:35" ht="54">
      <c r="A48" s="2" t="s">
        <v>458</v>
      </c>
      <c r="B48" s="2" t="s">
        <v>310</v>
      </c>
      <c r="C48" s="2" t="s">
        <v>311</v>
      </c>
      <c r="D48" s="2" t="s">
        <v>312</v>
      </c>
      <c r="E48" s="2">
        <v>26</v>
      </c>
      <c r="F48" s="2" t="s">
        <v>459</v>
      </c>
      <c r="G48" s="2"/>
      <c r="H48" s="2" t="s">
        <v>460</v>
      </c>
      <c r="I48" s="2" t="s">
        <v>50</v>
      </c>
      <c r="J48" s="2"/>
      <c r="K48" s="2" t="s">
        <v>121</v>
      </c>
      <c r="L48" s="2" t="s">
        <v>51</v>
      </c>
      <c r="M48" s="2" t="s">
        <v>123</v>
      </c>
      <c r="N48" s="2" t="s">
        <v>124</v>
      </c>
      <c r="O48" s="2" t="s">
        <v>125</v>
      </c>
      <c r="P48" s="2" t="s">
        <v>417</v>
      </c>
      <c r="Q48" s="2"/>
      <c r="R48" s="2" t="s">
        <v>461</v>
      </c>
      <c r="S48" s="2" t="s">
        <v>448</v>
      </c>
      <c r="T48" s="2" t="s">
        <v>462</v>
      </c>
      <c r="U48" s="2" t="s">
        <v>421</v>
      </c>
      <c r="V48" s="2" t="s">
        <v>161</v>
      </c>
      <c r="W48" s="2" t="s">
        <v>422</v>
      </c>
      <c r="X48" s="2" t="s">
        <v>423</v>
      </c>
      <c r="Y48" s="2"/>
      <c r="Z48" s="2" t="s">
        <v>434</v>
      </c>
      <c r="AA48" s="2" t="s">
        <v>425</v>
      </c>
      <c r="AB48" s="2" t="s">
        <v>463</v>
      </c>
      <c r="AC48" s="2"/>
      <c r="AD48" s="2"/>
      <c r="AE48" s="2"/>
      <c r="AF48" s="2" t="s">
        <v>114</v>
      </c>
      <c r="AG48" s="2" t="s">
        <v>115</v>
      </c>
      <c r="AH48" s="2"/>
      <c r="AI48" s="2" t="s">
        <v>428</v>
      </c>
    </row>
    <row r="49" spans="1:35" ht="27">
      <c r="A49" s="2" t="s">
        <v>523</v>
      </c>
      <c r="B49" s="2" t="s">
        <v>482</v>
      </c>
      <c r="C49" s="2" t="s">
        <v>483</v>
      </c>
      <c r="D49" s="2" t="s">
        <v>484</v>
      </c>
      <c r="E49" s="2">
        <v>14</v>
      </c>
      <c r="F49" s="2"/>
      <c r="G49" s="2"/>
      <c r="H49" s="2" t="s">
        <v>524</v>
      </c>
      <c r="I49" s="2" t="s">
        <v>50</v>
      </c>
      <c r="J49" s="2"/>
      <c r="K49" s="2" t="s">
        <v>121</v>
      </c>
      <c r="L49" s="2" t="s">
        <v>51</v>
      </c>
      <c r="M49" s="2" t="s">
        <v>123</v>
      </c>
      <c r="N49" s="2" t="s">
        <v>124</v>
      </c>
      <c r="O49" s="2" t="s">
        <v>125</v>
      </c>
      <c r="P49" s="2" t="s">
        <v>417</v>
      </c>
      <c r="Q49" s="7"/>
      <c r="R49" s="2">
        <v>36557</v>
      </c>
      <c r="S49" s="2" t="s">
        <v>104</v>
      </c>
      <c r="T49" s="2" t="s">
        <v>486</v>
      </c>
      <c r="U49" s="2" t="s">
        <v>487</v>
      </c>
      <c r="V49" s="2" t="s">
        <v>488</v>
      </c>
      <c r="W49" s="2"/>
      <c r="X49" s="2" t="s">
        <v>423</v>
      </c>
      <c r="Y49" s="2"/>
      <c r="Z49" s="2" t="s">
        <v>489</v>
      </c>
      <c r="AA49" s="2"/>
      <c r="AB49" s="2"/>
      <c r="AC49" s="2" t="s">
        <v>490</v>
      </c>
      <c r="AD49" s="2"/>
      <c r="AE49" s="2"/>
      <c r="AF49" s="2" t="s">
        <v>114</v>
      </c>
      <c r="AG49" s="2" t="s">
        <v>115</v>
      </c>
      <c r="AH49" s="2"/>
      <c r="AI49" s="2" t="s">
        <v>428</v>
      </c>
    </row>
    <row r="50" spans="1:35" ht="27">
      <c r="A50" s="2" t="s">
        <v>527</v>
      </c>
      <c r="B50" s="2" t="s">
        <v>482</v>
      </c>
      <c r="C50" s="2" t="s">
        <v>483</v>
      </c>
      <c r="D50" s="2" t="s">
        <v>484</v>
      </c>
      <c r="E50" s="2">
        <v>16</v>
      </c>
      <c r="F50" s="2"/>
      <c r="G50" s="2"/>
      <c r="H50" s="2" t="s">
        <v>528</v>
      </c>
      <c r="I50" s="2" t="s">
        <v>50</v>
      </c>
      <c r="J50" s="2"/>
      <c r="K50" s="2" t="s">
        <v>121</v>
      </c>
      <c r="L50" s="2" t="s">
        <v>51</v>
      </c>
      <c r="M50" s="2" t="s">
        <v>123</v>
      </c>
      <c r="N50" s="2" t="s">
        <v>124</v>
      </c>
      <c r="O50" s="2" t="s">
        <v>125</v>
      </c>
      <c r="P50" s="2" t="s">
        <v>417</v>
      </c>
      <c r="Q50" s="2"/>
      <c r="R50" s="2"/>
      <c r="S50" s="2" t="s">
        <v>104</v>
      </c>
      <c r="T50" s="2" t="s">
        <v>529</v>
      </c>
      <c r="U50" s="2" t="s">
        <v>487</v>
      </c>
      <c r="V50" s="2" t="s">
        <v>488</v>
      </c>
      <c r="W50" s="2"/>
      <c r="X50" s="2" t="s">
        <v>423</v>
      </c>
      <c r="Y50" s="2"/>
      <c r="Z50" s="2" t="s">
        <v>489</v>
      </c>
      <c r="AA50" s="2"/>
      <c r="AB50" s="2"/>
      <c r="AC50" s="2" t="s">
        <v>490</v>
      </c>
      <c r="AD50" s="2"/>
      <c r="AE50" s="2"/>
      <c r="AF50" s="2" t="s">
        <v>114</v>
      </c>
      <c r="AG50" s="2" t="s">
        <v>115</v>
      </c>
      <c r="AH50" s="2"/>
      <c r="AI50" s="2" t="s">
        <v>428</v>
      </c>
    </row>
    <row r="51" spans="1:35" ht="27">
      <c r="A51" s="2" t="s">
        <v>530</v>
      </c>
      <c r="B51" s="2" t="s">
        <v>482</v>
      </c>
      <c r="C51" s="2" t="s">
        <v>483</v>
      </c>
      <c r="D51" s="2" t="s">
        <v>484</v>
      </c>
      <c r="E51" s="2">
        <v>17</v>
      </c>
      <c r="F51" s="2"/>
      <c r="G51" s="2"/>
      <c r="H51" s="2" t="s">
        <v>531</v>
      </c>
      <c r="I51" s="2" t="s">
        <v>50</v>
      </c>
      <c r="J51" s="2"/>
      <c r="K51" s="2" t="s">
        <v>121</v>
      </c>
      <c r="L51" s="2" t="s">
        <v>51</v>
      </c>
      <c r="M51" s="2" t="s">
        <v>123</v>
      </c>
      <c r="N51" s="2" t="s">
        <v>124</v>
      </c>
      <c r="O51" s="2" t="s">
        <v>125</v>
      </c>
      <c r="P51" s="2" t="s">
        <v>417</v>
      </c>
      <c r="Q51" s="2"/>
      <c r="R51" s="2">
        <v>25569</v>
      </c>
      <c r="S51" s="2" t="s">
        <v>104</v>
      </c>
      <c r="T51" s="2" t="s">
        <v>497</v>
      </c>
      <c r="U51" s="2" t="s">
        <v>487</v>
      </c>
      <c r="V51" s="2" t="s">
        <v>488</v>
      </c>
      <c r="W51" s="2"/>
      <c r="X51" s="2" t="s">
        <v>532</v>
      </c>
      <c r="Y51" s="2"/>
      <c r="Z51" s="2" t="s">
        <v>533</v>
      </c>
      <c r="AA51" s="2"/>
      <c r="AB51" s="2"/>
      <c r="AC51" s="2" t="s">
        <v>490</v>
      </c>
      <c r="AD51" s="2"/>
      <c r="AE51" s="2"/>
      <c r="AF51" s="2" t="s">
        <v>114</v>
      </c>
      <c r="AG51" s="2" t="s">
        <v>115</v>
      </c>
      <c r="AH51" s="2"/>
      <c r="AI51" s="2" t="s">
        <v>428</v>
      </c>
    </row>
    <row r="52" spans="1:35" ht="27">
      <c r="A52" s="2" t="s">
        <v>541</v>
      </c>
      <c r="B52" s="2" t="s">
        <v>482</v>
      </c>
      <c r="C52" s="2" t="s">
        <v>483</v>
      </c>
      <c r="D52" s="2" t="s">
        <v>484</v>
      </c>
      <c r="E52" s="2">
        <v>20</v>
      </c>
      <c r="F52" s="2"/>
      <c r="G52" s="2"/>
      <c r="H52" s="2" t="s">
        <v>542</v>
      </c>
      <c r="I52" s="2" t="s">
        <v>50</v>
      </c>
      <c r="J52" s="2"/>
      <c r="K52" s="2" t="s">
        <v>121</v>
      </c>
      <c r="L52" s="2" t="s">
        <v>51</v>
      </c>
      <c r="M52" s="2" t="s">
        <v>123</v>
      </c>
      <c r="N52" s="2" t="s">
        <v>124</v>
      </c>
      <c r="O52" s="2" t="s">
        <v>125</v>
      </c>
      <c r="P52" s="2" t="s">
        <v>417</v>
      </c>
      <c r="Q52" s="2"/>
      <c r="R52" s="2"/>
      <c r="S52" s="2" t="s">
        <v>104</v>
      </c>
      <c r="T52" s="2" t="s">
        <v>543</v>
      </c>
      <c r="U52" s="2" t="s">
        <v>487</v>
      </c>
      <c r="V52" s="2" t="s">
        <v>488</v>
      </c>
      <c r="W52" s="2"/>
      <c r="X52" s="2" t="s">
        <v>544</v>
      </c>
      <c r="Y52" s="2"/>
      <c r="Z52" s="2" t="s">
        <v>545</v>
      </c>
      <c r="AA52" s="2"/>
      <c r="AB52" s="2"/>
      <c r="AC52" s="2" t="s">
        <v>490</v>
      </c>
      <c r="AD52" s="2"/>
      <c r="AE52" s="2"/>
      <c r="AF52" s="2" t="s">
        <v>114</v>
      </c>
      <c r="AG52" s="2" t="s">
        <v>115</v>
      </c>
      <c r="AH52" s="2"/>
      <c r="AI52" s="2" t="s">
        <v>428</v>
      </c>
    </row>
    <row r="53" spans="1:35" ht="27">
      <c r="A53" s="2" t="s">
        <v>563</v>
      </c>
      <c r="B53" s="2" t="s">
        <v>482</v>
      </c>
      <c r="C53" s="2" t="s">
        <v>483</v>
      </c>
      <c r="D53" s="2" t="s">
        <v>484</v>
      </c>
      <c r="E53" s="2">
        <v>25</v>
      </c>
      <c r="F53" s="2"/>
      <c r="G53" s="2"/>
      <c r="H53" s="2" t="s">
        <v>564</v>
      </c>
      <c r="I53" s="2" t="s">
        <v>50</v>
      </c>
      <c r="J53" s="2" t="s">
        <v>22</v>
      </c>
      <c r="K53" s="2" t="s">
        <v>121</v>
      </c>
      <c r="L53" s="2" t="s">
        <v>51</v>
      </c>
      <c r="M53" s="2" t="s">
        <v>123</v>
      </c>
      <c r="N53" s="2" t="s">
        <v>124</v>
      </c>
      <c r="O53" s="2" t="s">
        <v>125</v>
      </c>
      <c r="P53" s="2" t="s">
        <v>417</v>
      </c>
      <c r="Q53" s="2"/>
      <c r="R53" s="2">
        <v>32904</v>
      </c>
      <c r="S53" s="2" t="s">
        <v>448</v>
      </c>
      <c r="T53" s="2" t="s">
        <v>565</v>
      </c>
      <c r="U53" s="2" t="s">
        <v>487</v>
      </c>
      <c r="V53" s="2" t="s">
        <v>488</v>
      </c>
      <c r="W53" s="2"/>
      <c r="X53" s="2" t="s">
        <v>532</v>
      </c>
      <c r="Y53" s="2"/>
      <c r="Z53" s="2" t="s">
        <v>533</v>
      </c>
      <c r="AA53" s="2"/>
      <c r="AB53" s="2" t="s">
        <v>566</v>
      </c>
      <c r="AC53" s="2" t="s">
        <v>490</v>
      </c>
      <c r="AD53" s="2"/>
      <c r="AE53" s="2" t="s">
        <v>567</v>
      </c>
      <c r="AF53" s="2" t="s">
        <v>114</v>
      </c>
      <c r="AG53" s="2" t="s">
        <v>115</v>
      </c>
      <c r="AH53" s="2"/>
      <c r="AI53" s="2" t="s">
        <v>568</v>
      </c>
    </row>
    <row r="54" spans="1:35" ht="13.9">
      <c r="H54" s="12" t="s">
        <v>613</v>
      </c>
      <c r="I54" s="11" t="s">
        <v>617</v>
      </c>
      <c r="Q54" s="2"/>
    </row>
    <row r="55" spans="1:35" ht="13.9">
      <c r="H55" s="12" t="s">
        <v>614</v>
      </c>
      <c r="I55" s="11" t="s">
        <v>617</v>
      </c>
      <c r="Q55" s="2"/>
    </row>
    <row r="56" spans="1:35" ht="13.9">
      <c r="H56" s="12" t="s">
        <v>615</v>
      </c>
      <c r="I56" s="11" t="s">
        <v>617</v>
      </c>
      <c r="Q56" s="2"/>
    </row>
    <row r="57" spans="1:35" ht="13.9">
      <c r="H57" s="12" t="s">
        <v>616</v>
      </c>
      <c r="I57" s="11" t="s">
        <v>617</v>
      </c>
      <c r="Q57" s="2"/>
    </row>
    <row r="58" spans="1:35" ht="13.9">
      <c r="I58" s="11" t="s">
        <v>612</v>
      </c>
      <c r="Q58" s="2"/>
    </row>
  </sheetData>
  <phoneticPr fontId="5" type="noConversion"/>
  <conditionalFormatting sqref="I2:I58">
    <cfRule type="expression" dxfId="6" priority="1">
      <formula>LEFT(I2,1)="①"</formula>
    </cfRule>
    <cfRule type="expression" dxfId="5" priority="2">
      <formula>LEFT(I2,1)="②"</formula>
    </cfRule>
    <cfRule type="expression" dxfId="4" priority="3">
      <formula>LEFT(I2,1)="③"</formula>
    </cfRule>
    <cfRule type="expression" dxfId="3" priority="4">
      <formula>LEFT(I2,1)="④"</formula>
    </cfRule>
    <cfRule type="expression" dxfId="2" priority="5">
      <formula>LEFT(I2,1)="⑤"</formula>
    </cfRule>
    <cfRule type="expression" dxfId="1" priority="6">
      <formula>LEFT(I2,1)="⑥"</formula>
    </cfRule>
  </conditionalFormatting>
  <conditionalFormatting sqref="O2:O58">
    <cfRule type="expression" dxfId="0" priority="7">
      <formula>O2="높음"</formula>
    </cfRule>
  </conditionalFormatting>
  <dataValidations count="1">
    <dataValidation type="list" sqref="AG2:AG58" xr:uid="{00000000-0002-0000-0200-000000000000}">
      <formula1>"후보 유지,우선 검토,후순위 검토,모델 투입,보류"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3.5"/>
  <cols>
    <col min="1" max="1" width="30" customWidth="1"/>
    <col min="2" max="2" width="14" customWidth="1"/>
    <col min="3" max="5" width="12" customWidth="1"/>
    <col min="6" max="6" width="14" customWidth="1"/>
    <col min="7" max="7" width="52" customWidth="1"/>
  </cols>
  <sheetData>
    <row r="1" spans="1:7" ht="13.9">
      <c r="A1" s="4" t="s">
        <v>16</v>
      </c>
      <c r="B1" s="4" t="s">
        <v>582</v>
      </c>
      <c r="C1" s="4" t="s">
        <v>91</v>
      </c>
      <c r="D1" s="4" t="s">
        <v>310</v>
      </c>
      <c r="E1" s="4" t="s">
        <v>482</v>
      </c>
      <c r="F1" s="4" t="s">
        <v>583</v>
      </c>
      <c r="G1" s="4" t="s">
        <v>584</v>
      </c>
    </row>
    <row r="2" spans="1:7" ht="27">
      <c r="A2" s="2" t="s">
        <v>22</v>
      </c>
      <c r="B2" s="2">
        <f>COUNTIF(Variable_Master!$I:$I,A2)</f>
        <v>7</v>
      </c>
      <c r="C2" s="2">
        <f>COUNTIFS(Variable_Master!$I:$I,A2,Variable_Master!$B:$B,C$1)</f>
        <v>7</v>
      </c>
      <c r="D2" s="2">
        <f>COUNTIFS(Variable_Master!$I:$I,A2,Variable_Master!$B:$B,D$1)</f>
        <v>0</v>
      </c>
      <c r="E2" s="2">
        <f>COUNTIFS(Variable_Master!$I:$I,A2,Variable_Master!$B:$B,E$1)</f>
        <v>0</v>
      </c>
      <c r="F2" s="2">
        <f>COUNTIFS(Variable_Master!$I:$I,A2,Variable_Master!$O:$O,"높음")</f>
        <v>0</v>
      </c>
      <c r="G2" s="2" t="s">
        <v>206</v>
      </c>
    </row>
    <row r="3" spans="1:7">
      <c r="A3" s="2" t="s">
        <v>28</v>
      </c>
      <c r="B3" s="2">
        <f>COUNTIF(Variable_Master!$I:$I,A3)</f>
        <v>8</v>
      </c>
      <c r="C3" s="2">
        <f>COUNTIFS(Variable_Master!$I:$I,A3,Variable_Master!$B:$B,C$1)</f>
        <v>4</v>
      </c>
      <c r="D3" s="2">
        <f>COUNTIFS(Variable_Master!$I:$I,A3,Variable_Master!$B:$B,D$1)</f>
        <v>1</v>
      </c>
      <c r="E3" s="2">
        <f>COUNTIFS(Variable_Master!$I:$I,A3,Variable_Master!$B:$B,E$1)</f>
        <v>3</v>
      </c>
      <c r="F3" s="2">
        <f>COUNTIFS(Variable_Master!$I:$I,A3,Variable_Master!$O:$O,"높음")</f>
        <v>0</v>
      </c>
      <c r="G3" s="2" t="s">
        <v>278</v>
      </c>
    </row>
    <row r="4" spans="1:7" ht="27">
      <c r="A4" s="2" t="s">
        <v>33</v>
      </c>
      <c r="B4" s="2">
        <f>COUNTIF(Variable_Master!$I:$I,A4)</f>
        <v>14</v>
      </c>
      <c r="C4" s="2">
        <f>COUNTIFS(Variable_Master!$I:$I,A4,Variable_Master!$B:$B,C$1)</f>
        <v>4</v>
      </c>
      <c r="D4" s="2">
        <f>COUNTIFS(Variable_Master!$I:$I,A4,Variable_Master!$B:$B,D$1)</f>
        <v>4</v>
      </c>
      <c r="E4" s="2">
        <f>COUNTIFS(Variable_Master!$I:$I,A4,Variable_Master!$B:$B,E$1)</f>
        <v>6</v>
      </c>
      <c r="F4" s="2">
        <f>COUNTIFS(Variable_Master!$I:$I,A4,Variable_Master!$O:$O,"높음")</f>
        <v>0</v>
      </c>
      <c r="G4" s="2" t="s">
        <v>132</v>
      </c>
    </row>
    <row r="5" spans="1:7" ht="27">
      <c r="A5" s="2" t="s">
        <v>38</v>
      </c>
      <c r="B5" s="2">
        <f>COUNTIF(Variable_Master!$I:$I,A5)</f>
        <v>6</v>
      </c>
      <c r="C5" s="2">
        <f>COUNTIFS(Variable_Master!$I:$I,A5,Variable_Master!$B:$B,C$1)</f>
        <v>2</v>
      </c>
      <c r="D5" s="2">
        <f>COUNTIFS(Variable_Master!$I:$I,A5,Variable_Master!$B:$B,D$1)</f>
        <v>4</v>
      </c>
      <c r="E5" s="2">
        <f>COUNTIFS(Variable_Master!$I:$I,A5,Variable_Master!$B:$B,E$1)</f>
        <v>0</v>
      </c>
      <c r="F5" s="2">
        <f>COUNTIFS(Variable_Master!$I:$I,A5,Variable_Master!$O:$O,"높음")</f>
        <v>0</v>
      </c>
      <c r="G5" s="2" t="s">
        <v>165</v>
      </c>
    </row>
    <row r="6" spans="1:7">
      <c r="A6" s="2" t="s">
        <v>44</v>
      </c>
      <c r="B6" s="2">
        <f>COUNTIF(Variable_Master!$I:$I,A6)</f>
        <v>5</v>
      </c>
      <c r="C6" s="2">
        <f>COUNTIFS(Variable_Master!$I:$I,A6,Variable_Master!$B:$B,C$1)</f>
        <v>1</v>
      </c>
      <c r="D6" s="2">
        <f>COUNTIFS(Variable_Master!$I:$I,A6,Variable_Master!$B:$B,D$1)</f>
        <v>1</v>
      </c>
      <c r="E6" s="2">
        <f>COUNTIFS(Variable_Master!$I:$I,A6,Variable_Master!$B:$B,E$1)</f>
        <v>3</v>
      </c>
      <c r="F6" s="2">
        <f>COUNTIFS(Variable_Master!$I:$I,A6,Variable_Master!$O:$O,"높음")</f>
        <v>1</v>
      </c>
      <c r="G6" s="2" t="s">
        <v>117</v>
      </c>
    </row>
    <row r="7" spans="1:7" ht="27">
      <c r="A7" s="2" t="s">
        <v>50</v>
      </c>
      <c r="B7" s="2">
        <f>COUNTIF(Variable_Master!$I:$I,A7)</f>
        <v>12</v>
      </c>
      <c r="C7" s="2">
        <f>COUNTIFS(Variable_Master!$I:$I,A7,Variable_Master!$B:$B,C$1)</f>
        <v>0</v>
      </c>
      <c r="D7" s="2">
        <f>COUNTIFS(Variable_Master!$I:$I,A7,Variable_Master!$B:$B,D$1)</f>
        <v>7</v>
      </c>
      <c r="E7" s="2">
        <f>COUNTIFS(Variable_Master!$I:$I,A7,Variable_Master!$B:$B,E$1)</f>
        <v>5</v>
      </c>
      <c r="F7" s="2">
        <f>COUNTIFS(Variable_Master!$I:$I,A7,Variable_Master!$O:$O,"높음")</f>
        <v>0</v>
      </c>
      <c r="G7" s="2" t="s">
        <v>428</v>
      </c>
    </row>
    <row r="8" spans="1:7" ht="13.9">
      <c r="A8" s="1" t="s">
        <v>585</v>
      </c>
      <c r="B8" s="1">
        <f>SUM(B2:B7)</f>
        <v>52</v>
      </c>
      <c r="C8" s="1">
        <f>SUM(C2:C7)</f>
        <v>18</v>
      </c>
      <c r="D8" s="1">
        <f>SUM(D2:D7)</f>
        <v>17</v>
      </c>
      <c r="E8" s="1">
        <f>SUM(E2:E7)</f>
        <v>17</v>
      </c>
      <c r="F8" s="1">
        <f>SUM(F2:F7)</f>
        <v>1</v>
      </c>
      <c r="G8" s="1" t="s">
        <v>586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topLeftCell="A49" workbookViewId="0">
      <selection activeCell="C76" sqref="C76"/>
    </sheetView>
  </sheetViews>
  <sheetFormatPr defaultRowHeight="13.5"/>
  <cols>
    <col min="1" max="1" width="10" customWidth="1"/>
    <col min="2" max="2" width="30" customWidth="1"/>
    <col min="3" max="3" width="38" customWidth="1"/>
    <col min="4" max="4" width="24" customWidth="1"/>
    <col min="5" max="5" width="18" customWidth="1"/>
    <col min="6" max="6" width="46" customWidth="1"/>
    <col min="7" max="7" width="12" customWidth="1"/>
    <col min="8" max="8" width="34" customWidth="1"/>
    <col min="9" max="9" width="40" customWidth="1"/>
    <col min="10" max="10" width="18" customWidth="1"/>
  </cols>
  <sheetData>
    <row r="1" spans="1:10" ht="13.9">
      <c r="A1" s="5" t="s">
        <v>57</v>
      </c>
      <c r="B1" s="5" t="s">
        <v>58</v>
      </c>
      <c r="C1" s="5" t="s">
        <v>63</v>
      </c>
      <c r="D1" s="5" t="s">
        <v>78</v>
      </c>
      <c r="E1" s="5" t="s">
        <v>79</v>
      </c>
      <c r="F1" s="5" t="s">
        <v>587</v>
      </c>
      <c r="G1" s="5" t="s">
        <v>73</v>
      </c>
      <c r="H1" s="5" t="s">
        <v>74</v>
      </c>
      <c r="I1" s="5" t="s">
        <v>75</v>
      </c>
      <c r="J1" s="5" t="s">
        <v>72</v>
      </c>
    </row>
    <row r="2" spans="1:10" ht="27">
      <c r="A2" s="2" t="s">
        <v>91</v>
      </c>
      <c r="B2" s="2" t="s">
        <v>92</v>
      </c>
      <c r="C2" s="2" t="s">
        <v>96</v>
      </c>
      <c r="D2" s="2" t="s">
        <v>108</v>
      </c>
      <c r="E2" s="2" t="s">
        <v>109</v>
      </c>
      <c r="F2" s="2" t="s">
        <v>110</v>
      </c>
      <c r="G2" s="2" t="s">
        <v>104</v>
      </c>
      <c r="H2" s="2" t="s">
        <v>105</v>
      </c>
      <c r="I2" s="2" t="s">
        <v>106</v>
      </c>
      <c r="J2" s="2" t="s">
        <v>103</v>
      </c>
    </row>
    <row r="3" spans="1:10" ht="27">
      <c r="A3" s="2" t="s">
        <v>91</v>
      </c>
      <c r="B3" s="2" t="s">
        <v>92</v>
      </c>
      <c r="C3" s="2" t="s">
        <v>120</v>
      </c>
      <c r="D3" s="2" t="s">
        <v>108</v>
      </c>
      <c r="E3" s="2" t="s">
        <v>128</v>
      </c>
      <c r="F3" s="2" t="s">
        <v>129</v>
      </c>
      <c r="G3" s="2" t="s">
        <v>104</v>
      </c>
      <c r="H3" s="2" t="s">
        <v>105</v>
      </c>
      <c r="I3" s="2" t="s">
        <v>106</v>
      </c>
      <c r="J3" s="2" t="s">
        <v>127</v>
      </c>
    </row>
    <row r="4" spans="1:10" ht="27">
      <c r="A4" s="2" t="s">
        <v>91</v>
      </c>
      <c r="B4" s="2" t="s">
        <v>92</v>
      </c>
      <c r="C4" s="2" t="s">
        <v>135</v>
      </c>
      <c r="D4" s="2" t="s">
        <v>108</v>
      </c>
      <c r="E4" s="2" t="s">
        <v>138</v>
      </c>
      <c r="F4" s="2" t="s">
        <v>139</v>
      </c>
      <c r="G4" s="2" t="s">
        <v>104</v>
      </c>
      <c r="H4" s="2" t="s">
        <v>137</v>
      </c>
      <c r="I4" s="2" t="s">
        <v>106</v>
      </c>
      <c r="J4" s="2" t="s">
        <v>136</v>
      </c>
    </row>
    <row r="5" spans="1:10" ht="27">
      <c r="A5" s="2" t="s">
        <v>91</v>
      </c>
      <c r="B5" s="2" t="s">
        <v>92</v>
      </c>
      <c r="C5" s="2" t="s">
        <v>144</v>
      </c>
      <c r="D5" s="2" t="s">
        <v>108</v>
      </c>
      <c r="E5" s="2" t="s">
        <v>147</v>
      </c>
      <c r="F5" s="2" t="s">
        <v>148</v>
      </c>
      <c r="G5" s="2" t="s">
        <v>104</v>
      </c>
      <c r="H5" s="2" t="s">
        <v>146</v>
      </c>
      <c r="I5" s="2" t="s">
        <v>106</v>
      </c>
      <c r="J5" s="2" t="s">
        <v>145</v>
      </c>
    </row>
    <row r="6" spans="1:10" ht="27">
      <c r="A6" s="2" t="s">
        <v>91</v>
      </c>
      <c r="B6" s="2" t="s">
        <v>92</v>
      </c>
      <c r="C6" s="2" t="s">
        <v>155</v>
      </c>
      <c r="D6" s="2" t="s">
        <v>108</v>
      </c>
      <c r="E6" s="2" t="s">
        <v>162</v>
      </c>
      <c r="F6" s="2" t="s">
        <v>163</v>
      </c>
      <c r="G6" s="2" t="s">
        <v>104</v>
      </c>
      <c r="H6" s="2" t="s">
        <v>105</v>
      </c>
      <c r="I6" s="2" t="s">
        <v>160</v>
      </c>
      <c r="J6" s="2" t="s">
        <v>159</v>
      </c>
    </row>
    <row r="7" spans="1:10" ht="27">
      <c r="A7" s="2" t="s">
        <v>91</v>
      </c>
      <c r="B7" s="2" t="s">
        <v>92</v>
      </c>
      <c r="C7" s="2" t="s">
        <v>168</v>
      </c>
      <c r="D7" s="2" t="s">
        <v>172</v>
      </c>
      <c r="E7" s="2" t="s">
        <v>173</v>
      </c>
      <c r="F7" s="2" t="s">
        <v>174</v>
      </c>
      <c r="G7" s="2" t="s">
        <v>169</v>
      </c>
      <c r="H7" s="2" t="s">
        <v>170</v>
      </c>
      <c r="I7" s="2" t="s">
        <v>171</v>
      </c>
      <c r="J7" s="2" t="s">
        <v>127</v>
      </c>
    </row>
    <row r="8" spans="1:10" ht="27">
      <c r="A8" s="2" t="s">
        <v>91</v>
      </c>
      <c r="B8" s="2" t="s">
        <v>92</v>
      </c>
      <c r="C8" s="2" t="s">
        <v>179</v>
      </c>
      <c r="D8" s="2" t="s">
        <v>172</v>
      </c>
      <c r="E8" s="2" t="s">
        <v>181</v>
      </c>
      <c r="F8" s="2" t="s">
        <v>182</v>
      </c>
      <c r="G8" s="2" t="s">
        <v>169</v>
      </c>
      <c r="H8" s="2" t="s">
        <v>180</v>
      </c>
      <c r="I8" s="2" t="s">
        <v>171</v>
      </c>
      <c r="J8" s="2" t="s">
        <v>127</v>
      </c>
    </row>
    <row r="9" spans="1:10" ht="27">
      <c r="A9" s="2" t="s">
        <v>91</v>
      </c>
      <c r="B9" s="2" t="s">
        <v>92</v>
      </c>
      <c r="C9" s="2" t="s">
        <v>187</v>
      </c>
      <c r="D9" s="2"/>
      <c r="E9" s="2"/>
      <c r="F9" s="2" t="s">
        <v>192</v>
      </c>
      <c r="G9" s="2" t="s">
        <v>189</v>
      </c>
      <c r="H9" s="2" t="s">
        <v>190</v>
      </c>
      <c r="I9" s="2" t="s">
        <v>191</v>
      </c>
      <c r="J9" s="2" t="s">
        <v>188</v>
      </c>
    </row>
    <row r="10" spans="1:10">
      <c r="A10" s="2" t="s">
        <v>91</v>
      </c>
      <c r="B10" s="2" t="s">
        <v>92</v>
      </c>
      <c r="C10" s="2" t="s">
        <v>196</v>
      </c>
      <c r="D10" s="2" t="s">
        <v>201</v>
      </c>
      <c r="E10" s="2" t="s">
        <v>202</v>
      </c>
      <c r="F10" s="2" t="s">
        <v>203</v>
      </c>
      <c r="G10" s="2" t="s">
        <v>104</v>
      </c>
      <c r="H10" s="2" t="s">
        <v>200</v>
      </c>
      <c r="I10" s="2" t="s">
        <v>106</v>
      </c>
      <c r="J10" s="2" t="s">
        <v>127</v>
      </c>
    </row>
    <row r="11" spans="1:10">
      <c r="A11" s="2" t="s">
        <v>91</v>
      </c>
      <c r="B11" s="2" t="s">
        <v>92</v>
      </c>
      <c r="C11" s="2" t="s">
        <v>209</v>
      </c>
      <c r="D11" s="2" t="s">
        <v>201</v>
      </c>
      <c r="E11" s="2" t="s">
        <v>202</v>
      </c>
      <c r="F11" s="2" t="s">
        <v>203</v>
      </c>
      <c r="G11" s="2" t="s">
        <v>104</v>
      </c>
      <c r="H11" s="2" t="s">
        <v>200</v>
      </c>
      <c r="I11" s="2" t="s">
        <v>106</v>
      </c>
      <c r="J11" s="2" t="s">
        <v>127</v>
      </c>
    </row>
    <row r="12" spans="1:10">
      <c r="A12" s="2" t="s">
        <v>91</v>
      </c>
      <c r="B12" s="2" t="s">
        <v>92</v>
      </c>
      <c r="C12" s="2" t="s">
        <v>214</v>
      </c>
      <c r="D12" s="2" t="s">
        <v>201</v>
      </c>
      <c r="E12" s="2" t="s">
        <v>215</v>
      </c>
      <c r="F12" s="2" t="s">
        <v>216</v>
      </c>
      <c r="G12" s="2" t="s">
        <v>104</v>
      </c>
      <c r="H12" s="2" t="s">
        <v>200</v>
      </c>
      <c r="I12" s="2" t="s">
        <v>106</v>
      </c>
      <c r="J12" s="2" t="s">
        <v>127</v>
      </c>
    </row>
    <row r="13" spans="1:10" ht="27">
      <c r="A13" s="2" t="s">
        <v>91</v>
      </c>
      <c r="B13" s="2" t="s">
        <v>92</v>
      </c>
      <c r="C13" s="2" t="s">
        <v>220</v>
      </c>
      <c r="D13" s="2" t="s">
        <v>222</v>
      </c>
      <c r="E13" s="2" t="s">
        <v>223</v>
      </c>
      <c r="F13" s="2" t="s">
        <v>224</v>
      </c>
      <c r="G13" s="2" t="s">
        <v>104</v>
      </c>
      <c r="H13" s="2" t="s">
        <v>221</v>
      </c>
      <c r="I13" s="2" t="s">
        <v>106</v>
      </c>
      <c r="J13" s="2" t="s">
        <v>145</v>
      </c>
    </row>
    <row r="14" spans="1:10" ht="27">
      <c r="A14" s="2" t="s">
        <v>91</v>
      </c>
      <c r="B14" s="2" t="s">
        <v>92</v>
      </c>
      <c r="C14" s="2" t="s">
        <v>229</v>
      </c>
      <c r="D14" s="2" t="s">
        <v>234</v>
      </c>
      <c r="E14" s="2" t="s">
        <v>235</v>
      </c>
      <c r="F14" s="2" t="s">
        <v>236</v>
      </c>
      <c r="G14" s="2" t="s">
        <v>231</v>
      </c>
      <c r="H14" s="2" t="s">
        <v>232</v>
      </c>
      <c r="I14" s="2" t="s">
        <v>233</v>
      </c>
      <c r="J14" s="2" t="s">
        <v>230</v>
      </c>
    </row>
    <row r="15" spans="1:10" ht="27">
      <c r="A15" s="2" t="s">
        <v>91</v>
      </c>
      <c r="B15" s="2" t="s">
        <v>92</v>
      </c>
      <c r="C15" s="2" t="s">
        <v>240</v>
      </c>
      <c r="D15" s="2" t="s">
        <v>244</v>
      </c>
      <c r="E15" s="2" t="s">
        <v>245</v>
      </c>
      <c r="F15" s="2" t="s">
        <v>246</v>
      </c>
      <c r="G15" s="2" t="s">
        <v>242</v>
      </c>
      <c r="H15" s="2" t="s">
        <v>243</v>
      </c>
      <c r="I15" s="2" t="s">
        <v>106</v>
      </c>
      <c r="J15" s="2" t="s">
        <v>241</v>
      </c>
    </row>
    <row r="16" spans="1:10" ht="27">
      <c r="A16" s="2" t="s">
        <v>91</v>
      </c>
      <c r="B16" s="2" t="s">
        <v>92</v>
      </c>
      <c r="C16" s="2" t="s">
        <v>250</v>
      </c>
      <c r="D16" s="2" t="s">
        <v>252</v>
      </c>
      <c r="E16" s="2" t="s">
        <v>253</v>
      </c>
      <c r="F16" s="2" t="s">
        <v>254</v>
      </c>
      <c r="G16" s="2" t="s">
        <v>242</v>
      </c>
      <c r="H16" s="2" t="s">
        <v>243</v>
      </c>
      <c r="I16" s="2" t="s">
        <v>160</v>
      </c>
      <c r="J16" s="2" t="s">
        <v>251</v>
      </c>
    </row>
    <row r="17" spans="1:10" ht="27">
      <c r="A17" s="2" t="s">
        <v>91</v>
      </c>
      <c r="B17" s="2" t="s">
        <v>92</v>
      </c>
      <c r="C17" s="2" t="s">
        <v>257</v>
      </c>
      <c r="D17" s="2" t="s">
        <v>259</v>
      </c>
      <c r="E17" s="2" t="s">
        <v>260</v>
      </c>
      <c r="F17" s="2" t="s">
        <v>261</v>
      </c>
      <c r="G17" s="2" t="s">
        <v>242</v>
      </c>
      <c r="H17" s="2" t="s">
        <v>243</v>
      </c>
      <c r="I17" s="2" t="s">
        <v>171</v>
      </c>
      <c r="J17" s="2" t="s">
        <v>258</v>
      </c>
    </row>
    <row r="18" spans="1:10" ht="27">
      <c r="A18" s="2" t="s">
        <v>91</v>
      </c>
      <c r="B18" s="2" t="s">
        <v>92</v>
      </c>
      <c r="C18" s="2" t="s">
        <v>264</v>
      </c>
      <c r="D18" s="2" t="s">
        <v>252</v>
      </c>
      <c r="E18" s="2" t="s">
        <v>253</v>
      </c>
      <c r="F18" s="2" t="s">
        <v>254</v>
      </c>
      <c r="G18" s="2" t="s">
        <v>242</v>
      </c>
      <c r="H18" s="2" t="s">
        <v>243</v>
      </c>
      <c r="I18" s="2" t="s">
        <v>160</v>
      </c>
      <c r="J18" s="2" t="s">
        <v>251</v>
      </c>
    </row>
    <row r="19" spans="1:10" ht="27">
      <c r="A19" s="2" t="s">
        <v>91</v>
      </c>
      <c r="B19" s="2" t="s">
        <v>92</v>
      </c>
      <c r="C19" s="2" t="s">
        <v>268</v>
      </c>
      <c r="D19" s="2" t="s">
        <v>274</v>
      </c>
      <c r="E19" s="2" t="s">
        <v>275</v>
      </c>
      <c r="F19" s="2" t="s">
        <v>276</v>
      </c>
      <c r="G19" s="2" t="s">
        <v>104</v>
      </c>
      <c r="H19" s="2" t="s">
        <v>273</v>
      </c>
      <c r="I19" s="2" t="s">
        <v>160</v>
      </c>
      <c r="J19" s="2" t="s">
        <v>272</v>
      </c>
    </row>
    <row r="20" spans="1:10" ht="27">
      <c r="A20" s="2" t="s">
        <v>91</v>
      </c>
      <c r="B20" s="2" t="s">
        <v>92</v>
      </c>
      <c r="C20" s="2" t="s">
        <v>280</v>
      </c>
      <c r="D20" s="2"/>
      <c r="E20" s="2"/>
      <c r="F20" s="2" t="s">
        <v>276</v>
      </c>
      <c r="G20" s="2" t="s">
        <v>104</v>
      </c>
      <c r="H20" s="2" t="s">
        <v>273</v>
      </c>
      <c r="I20" s="2" t="s">
        <v>160</v>
      </c>
      <c r="J20" s="2" t="s">
        <v>272</v>
      </c>
    </row>
    <row r="21" spans="1:10" ht="27">
      <c r="A21" s="2" t="s">
        <v>91</v>
      </c>
      <c r="B21" s="2" t="s">
        <v>92</v>
      </c>
      <c r="C21" s="2" t="s">
        <v>282</v>
      </c>
      <c r="D21" s="2" t="s">
        <v>274</v>
      </c>
      <c r="E21" s="2" t="s">
        <v>275</v>
      </c>
      <c r="F21" s="2" t="s">
        <v>276</v>
      </c>
      <c r="G21" s="2" t="s">
        <v>104</v>
      </c>
      <c r="H21" s="2" t="s">
        <v>273</v>
      </c>
      <c r="I21" s="2" t="s">
        <v>160</v>
      </c>
      <c r="J21" s="2" t="s">
        <v>272</v>
      </c>
    </row>
    <row r="22" spans="1:10" ht="27">
      <c r="A22" s="2" t="s">
        <v>91</v>
      </c>
      <c r="B22" s="2" t="s">
        <v>92</v>
      </c>
      <c r="C22" s="2" t="s">
        <v>285</v>
      </c>
      <c r="D22" s="2" t="s">
        <v>286</v>
      </c>
      <c r="E22" s="2" t="s">
        <v>287</v>
      </c>
      <c r="F22" s="2" t="s">
        <v>288</v>
      </c>
      <c r="G22" s="2" t="s">
        <v>104</v>
      </c>
      <c r="H22" s="2" t="s">
        <v>273</v>
      </c>
      <c r="I22" s="2" t="s">
        <v>160</v>
      </c>
      <c r="J22" s="2" t="s">
        <v>145</v>
      </c>
    </row>
    <row r="23" spans="1:10" ht="27">
      <c r="A23" s="2" t="s">
        <v>91</v>
      </c>
      <c r="B23" s="2" t="s">
        <v>92</v>
      </c>
      <c r="C23" s="2" t="s">
        <v>292</v>
      </c>
      <c r="D23" s="2" t="s">
        <v>286</v>
      </c>
      <c r="E23" s="2" t="s">
        <v>293</v>
      </c>
      <c r="F23" s="2" t="s">
        <v>294</v>
      </c>
      <c r="G23" s="2" t="s">
        <v>104</v>
      </c>
      <c r="H23" s="2" t="s">
        <v>273</v>
      </c>
      <c r="I23" s="2" t="s">
        <v>160</v>
      </c>
      <c r="J23" s="2" t="s">
        <v>145</v>
      </c>
    </row>
    <row r="24" spans="1:10" ht="27">
      <c r="A24" s="2" t="s">
        <v>91</v>
      </c>
      <c r="B24" s="2" t="s">
        <v>92</v>
      </c>
      <c r="C24" s="2" t="s">
        <v>298</v>
      </c>
      <c r="D24" s="2" t="s">
        <v>286</v>
      </c>
      <c r="E24" s="2" t="s">
        <v>299</v>
      </c>
      <c r="F24" s="2" t="s">
        <v>300</v>
      </c>
      <c r="G24" s="2" t="s">
        <v>104</v>
      </c>
      <c r="H24" s="2" t="s">
        <v>273</v>
      </c>
      <c r="I24" s="2" t="s">
        <v>160</v>
      </c>
      <c r="J24" s="2" t="s">
        <v>145</v>
      </c>
    </row>
    <row r="25" spans="1:10" ht="27">
      <c r="A25" s="2" t="s">
        <v>91</v>
      </c>
      <c r="B25" s="2" t="s">
        <v>92</v>
      </c>
      <c r="C25" s="2" t="s">
        <v>303</v>
      </c>
      <c r="D25" s="2" t="s">
        <v>259</v>
      </c>
      <c r="E25" s="2" t="s">
        <v>305</v>
      </c>
      <c r="F25" s="2" t="s">
        <v>306</v>
      </c>
      <c r="G25" s="2" t="s">
        <v>242</v>
      </c>
      <c r="H25" s="2" t="s">
        <v>304</v>
      </c>
      <c r="I25" s="2" t="s">
        <v>171</v>
      </c>
      <c r="J25" s="2" t="s">
        <v>251</v>
      </c>
    </row>
    <row r="26" spans="1:10" ht="27">
      <c r="A26" s="2" t="s">
        <v>310</v>
      </c>
      <c r="B26" s="2" t="s">
        <v>311</v>
      </c>
      <c r="C26" s="2" t="s">
        <v>120</v>
      </c>
      <c r="D26" s="2" t="s">
        <v>319</v>
      </c>
      <c r="E26" s="2"/>
      <c r="F26" s="2" t="s">
        <v>320</v>
      </c>
      <c r="G26" s="2" t="s">
        <v>315</v>
      </c>
      <c r="H26" s="2" t="s">
        <v>316</v>
      </c>
      <c r="I26" s="2" t="s">
        <v>317</v>
      </c>
      <c r="J26" s="2" t="s">
        <v>314</v>
      </c>
    </row>
    <row r="27" spans="1:10" ht="27">
      <c r="A27" s="2" t="s">
        <v>310</v>
      </c>
      <c r="B27" s="2" t="s">
        <v>311</v>
      </c>
      <c r="C27" s="2" t="s">
        <v>323</v>
      </c>
      <c r="D27" s="2" t="s">
        <v>319</v>
      </c>
      <c r="E27" s="2"/>
      <c r="F27" s="2" t="s">
        <v>320</v>
      </c>
      <c r="G27" s="2" t="s">
        <v>315</v>
      </c>
      <c r="H27" s="2" t="s">
        <v>316</v>
      </c>
      <c r="I27" s="2" t="s">
        <v>324</v>
      </c>
      <c r="J27" s="2" t="s">
        <v>314</v>
      </c>
    </row>
    <row r="28" spans="1:10" ht="54">
      <c r="A28" s="2" t="s">
        <v>310</v>
      </c>
      <c r="B28" s="2" t="s">
        <v>311</v>
      </c>
      <c r="C28" s="2" t="s">
        <v>327</v>
      </c>
      <c r="D28" s="2" t="s">
        <v>319</v>
      </c>
      <c r="E28" s="2"/>
      <c r="F28" s="2" t="s">
        <v>330</v>
      </c>
      <c r="G28" s="2" t="s">
        <v>315</v>
      </c>
      <c r="H28" s="2" t="s">
        <v>316</v>
      </c>
      <c r="I28" s="2" t="s">
        <v>329</v>
      </c>
      <c r="J28" s="2" t="s">
        <v>328</v>
      </c>
    </row>
    <row r="29" spans="1:10" ht="27">
      <c r="A29" s="2" t="s">
        <v>310</v>
      </c>
      <c r="B29" s="2" t="s">
        <v>311</v>
      </c>
      <c r="C29" s="2" t="s">
        <v>96</v>
      </c>
      <c r="D29" s="2" t="s">
        <v>319</v>
      </c>
      <c r="E29" s="2"/>
      <c r="F29" s="2" t="s">
        <v>320</v>
      </c>
      <c r="G29" s="2" t="s">
        <v>315</v>
      </c>
      <c r="H29" s="2" t="s">
        <v>316</v>
      </c>
      <c r="I29" s="2" t="s">
        <v>333</v>
      </c>
      <c r="J29" s="2" t="s">
        <v>332</v>
      </c>
    </row>
    <row r="30" spans="1:10" ht="27">
      <c r="A30" s="2" t="s">
        <v>310</v>
      </c>
      <c r="B30" s="2" t="s">
        <v>311</v>
      </c>
      <c r="C30" s="2" t="s">
        <v>335</v>
      </c>
      <c r="D30" s="2" t="s">
        <v>319</v>
      </c>
      <c r="E30" s="2"/>
      <c r="F30" s="2" t="s">
        <v>320</v>
      </c>
      <c r="G30" s="2" t="s">
        <v>315</v>
      </c>
      <c r="H30" s="2" t="s">
        <v>316</v>
      </c>
      <c r="I30" s="2" t="s">
        <v>336</v>
      </c>
      <c r="J30" s="2" t="s">
        <v>332</v>
      </c>
    </row>
    <row r="31" spans="1:10" ht="54">
      <c r="A31" s="2" t="s">
        <v>310</v>
      </c>
      <c r="B31" s="2" t="s">
        <v>311</v>
      </c>
      <c r="C31" s="2" t="s">
        <v>338</v>
      </c>
      <c r="D31" s="2" t="s">
        <v>319</v>
      </c>
      <c r="E31" s="2"/>
      <c r="F31" s="2" t="s">
        <v>342</v>
      </c>
      <c r="G31" s="2" t="s">
        <v>315</v>
      </c>
      <c r="H31" s="2" t="s">
        <v>340</v>
      </c>
      <c r="I31" s="2" t="s">
        <v>341</v>
      </c>
      <c r="J31" s="2" t="s">
        <v>339</v>
      </c>
    </row>
    <row r="32" spans="1:10" ht="27">
      <c r="A32" s="2" t="s">
        <v>310</v>
      </c>
      <c r="B32" s="2" t="s">
        <v>311</v>
      </c>
      <c r="C32" s="2" t="s">
        <v>345</v>
      </c>
      <c r="D32" s="2" t="s">
        <v>319</v>
      </c>
      <c r="E32" s="2"/>
      <c r="F32" s="2" t="s">
        <v>320</v>
      </c>
      <c r="G32" s="2" t="s">
        <v>315</v>
      </c>
      <c r="H32" s="2" t="s">
        <v>348</v>
      </c>
      <c r="I32" s="2" t="s">
        <v>349</v>
      </c>
      <c r="J32" s="2" t="s">
        <v>347</v>
      </c>
    </row>
    <row r="33" spans="1:10" ht="27">
      <c r="A33" s="2" t="s">
        <v>310</v>
      </c>
      <c r="B33" s="2" t="s">
        <v>311</v>
      </c>
      <c r="C33" s="2" t="s">
        <v>353</v>
      </c>
      <c r="D33" s="2" t="s">
        <v>319</v>
      </c>
      <c r="E33" s="2"/>
      <c r="F33" s="2" t="s">
        <v>320</v>
      </c>
      <c r="G33" s="2" t="s">
        <v>315</v>
      </c>
      <c r="H33" s="2" t="s">
        <v>348</v>
      </c>
      <c r="I33" s="2" t="s">
        <v>349</v>
      </c>
      <c r="J33" s="2" t="s">
        <v>347</v>
      </c>
    </row>
    <row r="34" spans="1:10" ht="27">
      <c r="A34" s="2" t="s">
        <v>310</v>
      </c>
      <c r="B34" s="2" t="s">
        <v>311</v>
      </c>
      <c r="C34" s="2" t="s">
        <v>355</v>
      </c>
      <c r="D34" s="2" t="s">
        <v>319</v>
      </c>
      <c r="E34" s="2"/>
      <c r="F34" s="2" t="s">
        <v>320</v>
      </c>
      <c r="G34" s="2" t="s">
        <v>315</v>
      </c>
      <c r="H34" s="2" t="s">
        <v>348</v>
      </c>
      <c r="I34" s="2" t="s">
        <v>336</v>
      </c>
      <c r="J34" s="2" t="s">
        <v>356</v>
      </c>
    </row>
    <row r="35" spans="1:10" ht="40.5">
      <c r="A35" s="2" t="s">
        <v>310</v>
      </c>
      <c r="B35" s="2" t="s">
        <v>311</v>
      </c>
      <c r="C35" s="2" t="s">
        <v>358</v>
      </c>
      <c r="D35" s="2" t="s">
        <v>319</v>
      </c>
      <c r="E35" s="2"/>
      <c r="F35" s="2" t="s">
        <v>363</v>
      </c>
      <c r="G35" s="2" t="s">
        <v>360</v>
      </c>
      <c r="H35" s="2" t="s">
        <v>361</v>
      </c>
      <c r="I35" s="2" t="s">
        <v>362</v>
      </c>
      <c r="J35" s="2" t="s">
        <v>359</v>
      </c>
    </row>
    <row r="36" spans="1:10" ht="27">
      <c r="A36" s="2" t="s">
        <v>310</v>
      </c>
      <c r="B36" s="2" t="s">
        <v>311</v>
      </c>
      <c r="C36" s="2" t="s">
        <v>368</v>
      </c>
      <c r="D36" s="2" t="s">
        <v>319</v>
      </c>
      <c r="E36" s="2"/>
      <c r="F36" s="2" t="s">
        <v>372</v>
      </c>
      <c r="G36" s="2" t="s">
        <v>315</v>
      </c>
      <c r="H36" s="2" t="s">
        <v>370</v>
      </c>
      <c r="I36" s="2" t="s">
        <v>371</v>
      </c>
      <c r="J36" s="2" t="s">
        <v>369</v>
      </c>
    </row>
    <row r="37" spans="1:10" ht="27">
      <c r="A37" s="2" t="s">
        <v>310</v>
      </c>
      <c r="B37" s="2" t="s">
        <v>311</v>
      </c>
      <c r="C37" s="2" t="s">
        <v>377</v>
      </c>
      <c r="D37" s="2" t="s">
        <v>319</v>
      </c>
      <c r="E37" s="2"/>
      <c r="F37" s="2" t="s">
        <v>372</v>
      </c>
      <c r="G37" s="2" t="s">
        <v>315</v>
      </c>
      <c r="H37" s="2" t="s">
        <v>370</v>
      </c>
      <c r="I37" s="2" t="s">
        <v>371</v>
      </c>
      <c r="J37" s="2" t="s">
        <v>369</v>
      </c>
    </row>
    <row r="38" spans="1:10" ht="27">
      <c r="A38" s="2" t="s">
        <v>310</v>
      </c>
      <c r="B38" s="2" t="s">
        <v>311</v>
      </c>
      <c r="C38" s="2" t="s">
        <v>381</v>
      </c>
      <c r="D38" s="2" t="s">
        <v>387</v>
      </c>
      <c r="E38" s="2"/>
      <c r="F38" s="2" t="s">
        <v>388</v>
      </c>
      <c r="G38" s="2" t="s">
        <v>315</v>
      </c>
      <c r="H38" s="2" t="s">
        <v>385</v>
      </c>
      <c r="I38" s="2" t="s">
        <v>386</v>
      </c>
      <c r="J38" s="2" t="s">
        <v>384</v>
      </c>
    </row>
    <row r="39" spans="1:10" ht="27">
      <c r="A39" s="2" t="s">
        <v>310</v>
      </c>
      <c r="B39" s="2" t="s">
        <v>311</v>
      </c>
      <c r="C39" s="2" t="s">
        <v>394</v>
      </c>
      <c r="D39" s="2" t="s">
        <v>397</v>
      </c>
      <c r="E39" s="2"/>
      <c r="F39" s="2" t="s">
        <v>398</v>
      </c>
      <c r="G39" s="2" t="s">
        <v>315</v>
      </c>
      <c r="H39" s="2" t="s">
        <v>396</v>
      </c>
      <c r="I39" s="2" t="s">
        <v>341</v>
      </c>
      <c r="J39" s="2" t="s">
        <v>395</v>
      </c>
    </row>
    <row r="40" spans="1:10" ht="27">
      <c r="A40" s="2" t="s">
        <v>310</v>
      </c>
      <c r="B40" s="2" t="s">
        <v>311</v>
      </c>
      <c r="C40" s="2" t="s">
        <v>209</v>
      </c>
      <c r="D40" s="2"/>
      <c r="E40" s="2"/>
      <c r="F40" s="2" t="s">
        <v>405</v>
      </c>
      <c r="G40" s="2" t="s">
        <v>315</v>
      </c>
      <c r="H40" s="2" t="s">
        <v>403</v>
      </c>
      <c r="I40" s="2" t="s">
        <v>404</v>
      </c>
      <c r="J40" s="2" t="s">
        <v>402</v>
      </c>
    </row>
    <row r="41" spans="1:10" ht="27">
      <c r="A41" s="2" t="s">
        <v>310</v>
      </c>
      <c r="B41" s="2" t="s">
        <v>311</v>
      </c>
      <c r="C41" s="2" t="s">
        <v>407</v>
      </c>
      <c r="D41" s="2" t="s">
        <v>397</v>
      </c>
      <c r="E41" s="2"/>
      <c r="F41" s="2" t="s">
        <v>398</v>
      </c>
      <c r="G41" s="2" t="s">
        <v>315</v>
      </c>
      <c r="H41" s="2" t="s">
        <v>396</v>
      </c>
      <c r="I41" s="2" t="s">
        <v>408</v>
      </c>
      <c r="J41" s="2" t="s">
        <v>395</v>
      </c>
    </row>
    <row r="42" spans="1:10" ht="27">
      <c r="A42" s="2" t="s">
        <v>310</v>
      </c>
      <c r="B42" s="2" t="s">
        <v>311</v>
      </c>
      <c r="C42" s="2" t="s">
        <v>410</v>
      </c>
      <c r="D42" s="2" t="s">
        <v>397</v>
      </c>
      <c r="E42" s="2"/>
      <c r="F42" s="2" t="s">
        <v>398</v>
      </c>
      <c r="G42" s="2" t="s">
        <v>315</v>
      </c>
      <c r="H42" s="2" t="s">
        <v>396</v>
      </c>
      <c r="I42" s="2" t="s">
        <v>408</v>
      </c>
      <c r="J42" s="2" t="s">
        <v>339</v>
      </c>
    </row>
    <row r="43" spans="1:10" ht="27">
      <c r="A43" s="2" t="s">
        <v>310</v>
      </c>
      <c r="B43" s="2" t="s">
        <v>311</v>
      </c>
      <c r="C43" s="2" t="s">
        <v>412</v>
      </c>
      <c r="D43" s="2" t="s">
        <v>397</v>
      </c>
      <c r="E43" s="2"/>
      <c r="F43" s="2" t="s">
        <v>398</v>
      </c>
      <c r="G43" s="2" t="s">
        <v>315</v>
      </c>
      <c r="H43" s="2" t="s">
        <v>396</v>
      </c>
      <c r="I43" s="2" t="s">
        <v>408</v>
      </c>
      <c r="J43" s="2" t="s">
        <v>413</v>
      </c>
    </row>
    <row r="44" spans="1:10" ht="40.5">
      <c r="A44" s="2" t="s">
        <v>310</v>
      </c>
      <c r="B44" s="2" t="s">
        <v>311</v>
      </c>
      <c r="C44" s="2" t="s">
        <v>416</v>
      </c>
      <c r="D44" s="2" t="s">
        <v>423</v>
      </c>
      <c r="E44" s="2"/>
      <c r="F44" s="2" t="s">
        <v>424</v>
      </c>
      <c r="G44" s="2" t="s">
        <v>419</v>
      </c>
      <c r="H44" s="2" t="s">
        <v>420</v>
      </c>
      <c r="I44" s="2" t="s">
        <v>421</v>
      </c>
      <c r="J44" s="2" t="s">
        <v>418</v>
      </c>
    </row>
    <row r="45" spans="1:10" ht="40.5">
      <c r="A45" s="2" t="s">
        <v>310</v>
      </c>
      <c r="B45" s="2" t="s">
        <v>311</v>
      </c>
      <c r="C45" s="2" t="s">
        <v>430</v>
      </c>
      <c r="D45" s="2" t="s">
        <v>423</v>
      </c>
      <c r="E45" s="2"/>
      <c r="F45" s="2" t="s">
        <v>434</v>
      </c>
      <c r="G45" s="2" t="s">
        <v>432</v>
      </c>
      <c r="H45" s="2" t="s">
        <v>433</v>
      </c>
      <c r="I45" s="2" t="s">
        <v>421</v>
      </c>
      <c r="J45" s="2" t="s">
        <v>431</v>
      </c>
    </row>
    <row r="46" spans="1:10" ht="40.5">
      <c r="A46" s="2" t="s">
        <v>310</v>
      </c>
      <c r="B46" s="2" t="s">
        <v>311</v>
      </c>
      <c r="C46" s="2" t="s">
        <v>437</v>
      </c>
      <c r="D46" s="2" t="s">
        <v>423</v>
      </c>
      <c r="E46" s="2"/>
      <c r="F46" s="2" t="s">
        <v>434</v>
      </c>
      <c r="G46" s="2" t="s">
        <v>432</v>
      </c>
      <c r="H46" s="2" t="s">
        <v>433</v>
      </c>
      <c r="I46" s="2" t="s">
        <v>421</v>
      </c>
      <c r="J46" s="2" t="s">
        <v>438</v>
      </c>
    </row>
    <row r="47" spans="1:10" ht="27">
      <c r="A47" s="2" t="s">
        <v>310</v>
      </c>
      <c r="B47" s="2" t="s">
        <v>311</v>
      </c>
      <c r="C47" s="2" t="s">
        <v>441</v>
      </c>
      <c r="D47" s="2" t="s">
        <v>423</v>
      </c>
      <c r="E47" s="2"/>
      <c r="F47" s="2" t="s">
        <v>434</v>
      </c>
      <c r="G47" s="2" t="s">
        <v>315</v>
      </c>
      <c r="H47" s="2" t="s">
        <v>443</v>
      </c>
      <c r="I47" s="2" t="s">
        <v>421</v>
      </c>
      <c r="J47" s="2" t="s">
        <v>442</v>
      </c>
    </row>
    <row r="48" spans="1:10" ht="27">
      <c r="A48" s="2" t="s">
        <v>310</v>
      </c>
      <c r="B48" s="2" t="s">
        <v>311</v>
      </c>
      <c r="C48" s="2" t="s">
        <v>446</v>
      </c>
      <c r="D48" s="2" t="s">
        <v>423</v>
      </c>
      <c r="E48" s="2"/>
      <c r="F48" s="2" t="s">
        <v>434</v>
      </c>
      <c r="G48" s="2" t="s">
        <v>448</v>
      </c>
      <c r="H48" s="2" t="s">
        <v>449</v>
      </c>
      <c r="I48" s="2" t="s">
        <v>421</v>
      </c>
      <c r="J48" s="2" t="s">
        <v>447</v>
      </c>
    </row>
    <row r="49" spans="1:10" ht="27">
      <c r="A49" s="2" t="s">
        <v>310</v>
      </c>
      <c r="B49" s="2" t="s">
        <v>311</v>
      </c>
      <c r="C49" s="2" t="s">
        <v>453</v>
      </c>
      <c r="D49" s="2"/>
      <c r="E49" s="2"/>
      <c r="F49" s="2" t="s">
        <v>456</v>
      </c>
      <c r="G49" s="2" t="s">
        <v>315</v>
      </c>
      <c r="H49" s="2" t="s">
        <v>455</v>
      </c>
      <c r="I49" s="2" t="s">
        <v>421</v>
      </c>
      <c r="J49" s="2" t="s">
        <v>454</v>
      </c>
    </row>
    <row r="50" spans="1:10" ht="40.5">
      <c r="A50" s="2" t="s">
        <v>310</v>
      </c>
      <c r="B50" s="2" t="s">
        <v>311</v>
      </c>
      <c r="C50" s="2" t="s">
        <v>460</v>
      </c>
      <c r="D50" s="2" t="s">
        <v>423</v>
      </c>
      <c r="E50" s="2"/>
      <c r="F50" s="2" t="s">
        <v>434</v>
      </c>
      <c r="G50" s="2" t="s">
        <v>448</v>
      </c>
      <c r="H50" s="2" t="s">
        <v>462</v>
      </c>
      <c r="I50" s="2" t="s">
        <v>421</v>
      </c>
      <c r="J50" s="2" t="s">
        <v>461</v>
      </c>
    </row>
    <row r="51" spans="1:10" ht="40.5">
      <c r="A51" s="2" t="s">
        <v>310</v>
      </c>
      <c r="B51" s="2" t="s">
        <v>311</v>
      </c>
      <c r="C51" s="2" t="s">
        <v>465</v>
      </c>
      <c r="D51" s="2" t="s">
        <v>423</v>
      </c>
      <c r="E51" s="2"/>
      <c r="F51" s="2" t="s">
        <v>470</v>
      </c>
      <c r="G51" s="2" t="s">
        <v>315</v>
      </c>
      <c r="H51" s="2" t="s">
        <v>468</v>
      </c>
      <c r="I51" s="2" t="s">
        <v>469</v>
      </c>
      <c r="J51" s="2" t="s">
        <v>467</v>
      </c>
    </row>
    <row r="52" spans="1:10" ht="67.5">
      <c r="A52" s="2" t="s">
        <v>310</v>
      </c>
      <c r="B52" s="2" t="s">
        <v>311</v>
      </c>
      <c r="C52" s="2" t="s">
        <v>475</v>
      </c>
      <c r="D52" s="2"/>
      <c r="E52" s="2"/>
      <c r="F52" s="2" t="s">
        <v>480</v>
      </c>
      <c r="G52" s="2" t="s">
        <v>477</v>
      </c>
      <c r="H52" s="2" t="s">
        <v>478</v>
      </c>
      <c r="I52" s="2" t="s">
        <v>479</v>
      </c>
      <c r="J52" s="2" t="s">
        <v>476</v>
      </c>
    </row>
    <row r="53" spans="1:10">
      <c r="A53" s="2" t="s">
        <v>482</v>
      </c>
      <c r="B53" s="2" t="s">
        <v>483</v>
      </c>
      <c r="C53" s="2" t="s">
        <v>416</v>
      </c>
      <c r="D53" s="2" t="s">
        <v>423</v>
      </c>
      <c r="E53" s="2"/>
      <c r="F53" s="2" t="s">
        <v>489</v>
      </c>
      <c r="G53" s="2" t="s">
        <v>485</v>
      </c>
      <c r="H53" s="2" t="s">
        <v>486</v>
      </c>
      <c r="I53" s="2" t="s">
        <v>487</v>
      </c>
      <c r="J53" s="2"/>
    </row>
    <row r="54" spans="1:10">
      <c r="A54" s="2" t="s">
        <v>482</v>
      </c>
      <c r="B54" s="2" t="s">
        <v>483</v>
      </c>
      <c r="C54" s="2" t="s">
        <v>492</v>
      </c>
      <c r="D54" s="2" t="s">
        <v>423</v>
      </c>
      <c r="E54" s="2"/>
      <c r="F54" s="2" t="s">
        <v>489</v>
      </c>
      <c r="G54" s="2" t="s">
        <v>485</v>
      </c>
      <c r="H54" s="2" t="s">
        <v>486</v>
      </c>
      <c r="I54" s="2" t="s">
        <v>487</v>
      </c>
      <c r="J54" s="2"/>
    </row>
    <row r="55" spans="1:10">
      <c r="A55" s="2" t="s">
        <v>482</v>
      </c>
      <c r="B55" s="2" t="s">
        <v>483</v>
      </c>
      <c r="C55" s="2" t="s">
        <v>494</v>
      </c>
      <c r="D55" s="2" t="s">
        <v>423</v>
      </c>
      <c r="E55" s="2"/>
      <c r="F55" s="2" t="s">
        <v>489</v>
      </c>
      <c r="G55" s="2" t="s">
        <v>485</v>
      </c>
      <c r="H55" s="2" t="s">
        <v>486</v>
      </c>
      <c r="I55" s="2" t="s">
        <v>487</v>
      </c>
      <c r="J55" s="2"/>
    </row>
    <row r="56" spans="1:10">
      <c r="A56" s="2" t="s">
        <v>482</v>
      </c>
      <c r="B56" s="2" t="s">
        <v>483</v>
      </c>
      <c r="C56" s="2" t="s">
        <v>496</v>
      </c>
      <c r="D56" s="2" t="s">
        <v>423</v>
      </c>
      <c r="E56" s="2"/>
      <c r="F56" s="2" t="s">
        <v>489</v>
      </c>
      <c r="G56" s="2" t="s">
        <v>104</v>
      </c>
      <c r="H56" s="2" t="s">
        <v>497</v>
      </c>
      <c r="I56" s="2" t="s">
        <v>487</v>
      </c>
      <c r="J56" s="2">
        <v>36892</v>
      </c>
    </row>
    <row r="57" spans="1:10">
      <c r="A57" s="2" t="s">
        <v>482</v>
      </c>
      <c r="B57" s="2" t="s">
        <v>483</v>
      </c>
      <c r="C57" s="2" t="s">
        <v>499</v>
      </c>
      <c r="D57" s="2" t="s">
        <v>423</v>
      </c>
      <c r="E57" s="2"/>
      <c r="F57" s="2" t="s">
        <v>489</v>
      </c>
      <c r="G57" s="2" t="s">
        <v>104</v>
      </c>
      <c r="H57" s="2" t="s">
        <v>497</v>
      </c>
      <c r="I57" s="2" t="s">
        <v>487</v>
      </c>
      <c r="J57" s="2">
        <v>37135</v>
      </c>
    </row>
    <row r="58" spans="1:10">
      <c r="A58" s="2" t="s">
        <v>482</v>
      </c>
      <c r="B58" s="2" t="s">
        <v>483</v>
      </c>
      <c r="C58" s="2" t="s">
        <v>501</v>
      </c>
      <c r="D58" s="2" t="s">
        <v>423</v>
      </c>
      <c r="E58" s="2"/>
      <c r="F58" s="2" t="s">
        <v>489</v>
      </c>
      <c r="G58" s="2" t="s">
        <v>104</v>
      </c>
      <c r="H58" s="2" t="s">
        <v>497</v>
      </c>
      <c r="I58" s="2" t="s">
        <v>487</v>
      </c>
      <c r="J58" s="2">
        <v>42005</v>
      </c>
    </row>
    <row r="59" spans="1:10">
      <c r="A59" s="2" t="s">
        <v>482</v>
      </c>
      <c r="B59" s="2" t="s">
        <v>483</v>
      </c>
      <c r="C59" s="2" t="s">
        <v>503</v>
      </c>
      <c r="D59" s="2" t="s">
        <v>423</v>
      </c>
      <c r="E59" s="2" t="s">
        <v>504</v>
      </c>
      <c r="F59" s="2" t="s">
        <v>489</v>
      </c>
      <c r="G59" s="2" t="s">
        <v>104</v>
      </c>
      <c r="H59" s="2" t="s">
        <v>497</v>
      </c>
      <c r="I59" s="2" t="s">
        <v>487</v>
      </c>
      <c r="J59" s="2">
        <v>40179</v>
      </c>
    </row>
    <row r="60" spans="1:10">
      <c r="A60" s="2" t="s">
        <v>482</v>
      </c>
      <c r="B60" s="2" t="s">
        <v>483</v>
      </c>
      <c r="C60" s="2" t="s">
        <v>506</v>
      </c>
      <c r="D60" s="2" t="s">
        <v>423</v>
      </c>
      <c r="E60" s="2" t="s">
        <v>507</v>
      </c>
      <c r="F60" s="2" t="s">
        <v>489</v>
      </c>
      <c r="G60" s="2" t="s">
        <v>104</v>
      </c>
      <c r="H60" s="2" t="s">
        <v>497</v>
      </c>
      <c r="I60" s="2" t="s">
        <v>487</v>
      </c>
      <c r="J60" s="2">
        <v>41640</v>
      </c>
    </row>
    <row r="61" spans="1:10">
      <c r="A61" s="2" t="s">
        <v>482</v>
      </c>
      <c r="B61" s="2" t="s">
        <v>483</v>
      </c>
      <c r="C61" s="2" t="s">
        <v>509</v>
      </c>
      <c r="D61" s="2" t="s">
        <v>423</v>
      </c>
      <c r="E61" s="2"/>
      <c r="F61" s="2" t="s">
        <v>489</v>
      </c>
      <c r="G61" s="2" t="s">
        <v>448</v>
      </c>
      <c r="H61" s="2" t="s">
        <v>510</v>
      </c>
      <c r="I61" s="2" t="s">
        <v>487</v>
      </c>
      <c r="J61" s="2">
        <v>37500</v>
      </c>
    </row>
    <row r="62" spans="1:10">
      <c r="A62" s="2" t="s">
        <v>482</v>
      </c>
      <c r="B62" s="2" t="s">
        <v>483</v>
      </c>
      <c r="C62" s="2" t="s">
        <v>512</v>
      </c>
      <c r="D62" s="2" t="s">
        <v>423</v>
      </c>
      <c r="E62" s="2"/>
      <c r="F62" s="2" t="s">
        <v>489</v>
      </c>
      <c r="G62" s="2" t="s">
        <v>104</v>
      </c>
      <c r="H62" s="2" t="s">
        <v>513</v>
      </c>
      <c r="I62" s="2" t="s">
        <v>514</v>
      </c>
      <c r="J62" s="2">
        <v>41275</v>
      </c>
    </row>
    <row r="63" spans="1:10">
      <c r="A63" s="2" t="s">
        <v>482</v>
      </c>
      <c r="B63" s="2" t="s">
        <v>483</v>
      </c>
      <c r="C63" s="2" t="s">
        <v>518</v>
      </c>
      <c r="D63" s="2" t="s">
        <v>423</v>
      </c>
      <c r="E63" s="2"/>
      <c r="F63" s="2" t="s">
        <v>489</v>
      </c>
      <c r="G63" s="2" t="s">
        <v>104</v>
      </c>
      <c r="H63" s="2" t="s">
        <v>513</v>
      </c>
      <c r="I63" s="2" t="s">
        <v>519</v>
      </c>
      <c r="J63" s="2">
        <v>41275</v>
      </c>
    </row>
    <row r="64" spans="1:10">
      <c r="A64" s="2" t="s">
        <v>482</v>
      </c>
      <c r="B64" s="2" t="s">
        <v>483</v>
      </c>
      <c r="C64" s="2" t="s">
        <v>521</v>
      </c>
      <c r="D64" s="2" t="s">
        <v>423</v>
      </c>
      <c r="E64" s="2"/>
      <c r="F64" s="2" t="s">
        <v>489</v>
      </c>
      <c r="G64" s="2" t="s">
        <v>104</v>
      </c>
      <c r="H64" s="2" t="s">
        <v>513</v>
      </c>
      <c r="I64" s="2" t="s">
        <v>522</v>
      </c>
      <c r="J64" s="2">
        <v>41275</v>
      </c>
    </row>
    <row r="65" spans="1:10">
      <c r="A65" s="2" t="s">
        <v>482</v>
      </c>
      <c r="B65" s="2" t="s">
        <v>483</v>
      </c>
      <c r="C65" s="2" t="s">
        <v>524</v>
      </c>
      <c r="D65" s="2" t="s">
        <v>423</v>
      </c>
      <c r="E65" s="2"/>
      <c r="F65" s="2" t="s">
        <v>489</v>
      </c>
      <c r="G65" s="2" t="s">
        <v>104</v>
      </c>
      <c r="H65" s="2" t="s">
        <v>486</v>
      </c>
      <c r="I65" s="2" t="s">
        <v>487</v>
      </c>
      <c r="J65" s="2">
        <v>36557</v>
      </c>
    </row>
    <row r="66" spans="1:10">
      <c r="A66" s="2" t="s">
        <v>482</v>
      </c>
      <c r="B66" s="2" t="s">
        <v>483</v>
      </c>
      <c r="C66" s="2" t="s">
        <v>526</v>
      </c>
      <c r="D66" s="2" t="s">
        <v>423</v>
      </c>
      <c r="E66" s="2"/>
      <c r="F66" s="2" t="s">
        <v>489</v>
      </c>
      <c r="G66" s="2" t="s">
        <v>104</v>
      </c>
      <c r="H66" s="2" t="s">
        <v>486</v>
      </c>
      <c r="I66" s="2" t="s">
        <v>487</v>
      </c>
      <c r="J66" s="2">
        <v>36557</v>
      </c>
    </row>
    <row r="67" spans="1:10" ht="27">
      <c r="A67" s="2" t="s">
        <v>482</v>
      </c>
      <c r="B67" s="2" t="s">
        <v>483</v>
      </c>
      <c r="C67" s="2" t="s">
        <v>528</v>
      </c>
      <c r="D67" s="2" t="s">
        <v>423</v>
      </c>
      <c r="E67" s="2"/>
      <c r="F67" s="2" t="s">
        <v>489</v>
      </c>
      <c r="G67" s="2" t="s">
        <v>104</v>
      </c>
      <c r="H67" s="2" t="s">
        <v>529</v>
      </c>
      <c r="I67" s="2" t="s">
        <v>487</v>
      </c>
      <c r="J67" s="2"/>
    </row>
    <row r="68" spans="1:10">
      <c r="A68" s="2" t="s">
        <v>482</v>
      </c>
      <c r="B68" s="2" t="s">
        <v>483</v>
      </c>
      <c r="C68" s="2" t="s">
        <v>531</v>
      </c>
      <c r="D68" s="2" t="s">
        <v>532</v>
      </c>
      <c r="E68" s="2"/>
      <c r="F68" s="2" t="s">
        <v>533</v>
      </c>
      <c r="G68" s="2" t="s">
        <v>104</v>
      </c>
      <c r="H68" s="2" t="s">
        <v>497</v>
      </c>
      <c r="I68" s="2" t="s">
        <v>487</v>
      </c>
      <c r="J68" s="2">
        <v>25569</v>
      </c>
    </row>
    <row r="69" spans="1:10">
      <c r="A69" s="2" t="s">
        <v>482</v>
      </c>
      <c r="B69" s="2" t="s">
        <v>483</v>
      </c>
      <c r="C69" s="2" t="s">
        <v>535</v>
      </c>
      <c r="D69" s="2" t="s">
        <v>423</v>
      </c>
      <c r="E69" s="2"/>
      <c r="F69" s="2" t="s">
        <v>489</v>
      </c>
      <c r="G69" s="2" t="s">
        <v>448</v>
      </c>
      <c r="H69" s="2" t="s">
        <v>529</v>
      </c>
      <c r="I69" s="2" t="s">
        <v>487</v>
      </c>
      <c r="J69" s="2"/>
    </row>
    <row r="70" spans="1:10" ht="27">
      <c r="A70" s="2" t="s">
        <v>482</v>
      </c>
      <c r="B70" s="2" t="s">
        <v>483</v>
      </c>
      <c r="C70" s="2" t="s">
        <v>537</v>
      </c>
      <c r="D70" s="2" t="s">
        <v>532</v>
      </c>
      <c r="E70" s="2"/>
      <c r="F70" s="2" t="s">
        <v>533</v>
      </c>
      <c r="G70" s="2" t="s">
        <v>104</v>
      </c>
      <c r="H70" s="2" t="s">
        <v>538</v>
      </c>
      <c r="I70" s="2" t="s">
        <v>539</v>
      </c>
      <c r="J70" s="2"/>
    </row>
    <row r="71" spans="1:10">
      <c r="A71" s="2" t="s">
        <v>482</v>
      </c>
      <c r="B71" s="2" t="s">
        <v>483</v>
      </c>
      <c r="C71" s="2" t="s">
        <v>542</v>
      </c>
      <c r="D71" s="2" t="s">
        <v>544</v>
      </c>
      <c r="E71" s="2"/>
      <c r="F71" s="2" t="s">
        <v>545</v>
      </c>
      <c r="G71" s="2" t="s">
        <v>104</v>
      </c>
      <c r="H71" s="2" t="s">
        <v>543</v>
      </c>
      <c r="I71" s="2" t="s">
        <v>487</v>
      </c>
      <c r="J71" s="2"/>
    </row>
    <row r="72" spans="1:10">
      <c r="A72" s="2" t="s">
        <v>482</v>
      </c>
      <c r="B72" s="2" t="s">
        <v>483</v>
      </c>
      <c r="C72" s="2" t="s">
        <v>547</v>
      </c>
      <c r="D72" s="2" t="s">
        <v>532</v>
      </c>
      <c r="E72" s="2"/>
      <c r="F72" s="2" t="s">
        <v>533</v>
      </c>
      <c r="G72" s="2" t="s">
        <v>104</v>
      </c>
      <c r="H72" s="2" t="s">
        <v>538</v>
      </c>
      <c r="I72" s="2" t="s">
        <v>539</v>
      </c>
      <c r="J72" s="2">
        <v>42186</v>
      </c>
    </row>
    <row r="73" spans="1:10">
      <c r="A73" s="2" t="s">
        <v>482</v>
      </c>
      <c r="B73" s="2" t="s">
        <v>483</v>
      </c>
      <c r="C73" s="2" t="s">
        <v>550</v>
      </c>
      <c r="D73" s="2" t="s">
        <v>532</v>
      </c>
      <c r="E73" s="2"/>
      <c r="F73" s="2" t="s">
        <v>533</v>
      </c>
      <c r="G73" s="2" t="s">
        <v>554</v>
      </c>
      <c r="H73" s="2" t="s">
        <v>555</v>
      </c>
      <c r="I73" s="2" t="s">
        <v>556</v>
      </c>
      <c r="J73" s="2">
        <v>42369</v>
      </c>
    </row>
    <row r="74" spans="1:10">
      <c r="A74" s="2" t="s">
        <v>482</v>
      </c>
      <c r="B74" s="2" t="s">
        <v>483</v>
      </c>
      <c r="C74" s="2" t="s">
        <v>561</v>
      </c>
      <c r="D74" s="2" t="s">
        <v>532</v>
      </c>
      <c r="E74" s="2"/>
      <c r="F74" s="2" t="s">
        <v>533</v>
      </c>
      <c r="G74" s="2" t="s">
        <v>315</v>
      </c>
      <c r="H74" s="2" t="s">
        <v>543</v>
      </c>
      <c r="I74" s="2" t="s">
        <v>562</v>
      </c>
      <c r="J74" s="2">
        <v>33969</v>
      </c>
    </row>
    <row r="75" spans="1:10" ht="27">
      <c r="A75" s="2" t="s">
        <v>482</v>
      </c>
      <c r="B75" s="2" t="s">
        <v>483</v>
      </c>
      <c r="C75" s="2" t="s">
        <v>564</v>
      </c>
      <c r="D75" s="2" t="s">
        <v>532</v>
      </c>
      <c r="E75" s="2"/>
      <c r="F75" s="2" t="s">
        <v>533</v>
      </c>
      <c r="G75" s="2" t="s">
        <v>448</v>
      </c>
      <c r="H75" s="2" t="s">
        <v>565</v>
      </c>
      <c r="I75" s="2" t="s">
        <v>487</v>
      </c>
      <c r="J75" s="2">
        <v>32904</v>
      </c>
    </row>
    <row r="76" spans="1:10" ht="27">
      <c r="A76" s="2" t="s">
        <v>482</v>
      </c>
      <c r="B76" s="2" t="s">
        <v>483</v>
      </c>
      <c r="C76" s="2" t="s">
        <v>564</v>
      </c>
      <c r="D76" s="2" t="s">
        <v>532</v>
      </c>
      <c r="E76" s="2"/>
      <c r="F76" s="2" t="s">
        <v>533</v>
      </c>
      <c r="G76" s="2" t="s">
        <v>448</v>
      </c>
      <c r="H76" s="2" t="s">
        <v>565</v>
      </c>
      <c r="I76" s="2" t="s">
        <v>487</v>
      </c>
      <c r="J76" s="2">
        <v>43496</v>
      </c>
    </row>
    <row r="77" spans="1:10" ht="27">
      <c r="A77" s="2" t="s">
        <v>482</v>
      </c>
      <c r="B77" s="2" t="s">
        <v>483</v>
      </c>
      <c r="C77" s="2" t="s">
        <v>571</v>
      </c>
      <c r="D77" s="2" t="s">
        <v>575</v>
      </c>
      <c r="E77" s="2"/>
      <c r="F77" s="2" t="s">
        <v>576</v>
      </c>
      <c r="G77" s="2" t="s">
        <v>554</v>
      </c>
      <c r="H77" s="2" t="s">
        <v>573</v>
      </c>
      <c r="I77" s="2" t="s">
        <v>574</v>
      </c>
      <c r="J77" s="2" t="s">
        <v>572</v>
      </c>
    </row>
    <row r="78" spans="1:10" ht="27">
      <c r="A78" s="2" t="s">
        <v>482</v>
      </c>
      <c r="B78" s="2" t="s">
        <v>483</v>
      </c>
      <c r="C78" s="2" t="s">
        <v>579</v>
      </c>
      <c r="D78" s="2" t="s">
        <v>575</v>
      </c>
      <c r="E78" s="2"/>
      <c r="F78" s="2" t="s">
        <v>576</v>
      </c>
      <c r="G78" s="2" t="s">
        <v>554</v>
      </c>
      <c r="H78" s="2" t="s">
        <v>573</v>
      </c>
      <c r="I78" s="2" t="s">
        <v>574</v>
      </c>
      <c r="J78" s="2" t="s">
        <v>580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8"/>
  <sheetViews>
    <sheetView workbookViewId="0"/>
  </sheetViews>
  <sheetFormatPr defaultRowHeight="13.5"/>
  <cols>
    <col min="1" max="1" width="10" customWidth="1"/>
    <col min="2" max="2" width="40" customWidth="1"/>
    <col min="3" max="3" width="30" customWidth="1"/>
    <col min="4" max="4" width="28" customWidth="1"/>
    <col min="5" max="5" width="14" customWidth="1"/>
    <col min="6" max="6" width="12" customWidth="1"/>
    <col min="7" max="7" width="30" customWidth="1"/>
    <col min="8" max="8" width="16" customWidth="1"/>
    <col min="9" max="9" width="42" customWidth="1"/>
  </cols>
  <sheetData>
    <row r="1" spans="1:9" ht="13.9">
      <c r="A1" s="5" t="s">
        <v>56</v>
      </c>
      <c r="B1" s="5" t="s">
        <v>63</v>
      </c>
      <c r="C1" s="5" t="s">
        <v>64</v>
      </c>
      <c r="D1" s="5" t="s">
        <v>85</v>
      </c>
      <c r="E1" s="5" t="s">
        <v>70</v>
      </c>
      <c r="F1" s="5" t="s">
        <v>588</v>
      </c>
      <c r="G1" s="5" t="s">
        <v>589</v>
      </c>
      <c r="H1" s="5" t="s">
        <v>590</v>
      </c>
      <c r="I1" s="5" t="s">
        <v>591</v>
      </c>
    </row>
    <row r="2" spans="1:9">
      <c r="A2" s="2" t="s">
        <v>90</v>
      </c>
      <c r="B2" s="2" t="s">
        <v>96</v>
      </c>
      <c r="C2" s="2" t="s">
        <v>44</v>
      </c>
      <c r="D2" s="2" t="s">
        <v>113</v>
      </c>
      <c r="E2" s="2" t="s">
        <v>101</v>
      </c>
      <c r="F2" s="2" t="s">
        <v>592</v>
      </c>
      <c r="G2" s="2" t="s">
        <v>593</v>
      </c>
      <c r="H2" s="2" t="s">
        <v>594</v>
      </c>
      <c r="I2" s="2"/>
    </row>
    <row r="3" spans="1:9">
      <c r="A3" s="2" t="s">
        <v>118</v>
      </c>
      <c r="B3" s="2" t="s">
        <v>120</v>
      </c>
      <c r="C3" s="2" t="s">
        <v>33</v>
      </c>
      <c r="D3" s="2" t="s">
        <v>131</v>
      </c>
      <c r="E3" s="2" t="s">
        <v>125</v>
      </c>
      <c r="F3" s="2" t="s">
        <v>592</v>
      </c>
      <c r="G3" s="2" t="s">
        <v>595</v>
      </c>
      <c r="H3" s="2" t="s">
        <v>594</v>
      </c>
      <c r="I3" s="2"/>
    </row>
    <row r="4" spans="1:9">
      <c r="A4" s="2" t="s">
        <v>133</v>
      </c>
      <c r="B4" s="2" t="s">
        <v>135</v>
      </c>
      <c r="C4" s="2" t="s">
        <v>33</v>
      </c>
      <c r="D4" s="2"/>
      <c r="E4" s="2" t="s">
        <v>125</v>
      </c>
      <c r="F4" s="2" t="s">
        <v>592</v>
      </c>
      <c r="G4" s="2" t="s">
        <v>596</v>
      </c>
      <c r="H4" s="2" t="s">
        <v>594</v>
      </c>
      <c r="I4" s="2"/>
    </row>
    <row r="5" spans="1:9">
      <c r="A5" s="2" t="s">
        <v>142</v>
      </c>
      <c r="B5" s="2" t="s">
        <v>144</v>
      </c>
      <c r="C5" s="2" t="s">
        <v>33</v>
      </c>
      <c r="D5" s="2" t="s">
        <v>151</v>
      </c>
      <c r="E5" s="2" t="s">
        <v>125</v>
      </c>
      <c r="F5" s="2" t="s">
        <v>592</v>
      </c>
      <c r="G5" s="2" t="s">
        <v>595</v>
      </c>
      <c r="H5" s="2" t="s">
        <v>594</v>
      </c>
      <c r="I5" s="2"/>
    </row>
    <row r="6" spans="1:9">
      <c r="A6" s="2" t="s">
        <v>153</v>
      </c>
      <c r="B6" s="2" t="s">
        <v>155</v>
      </c>
      <c r="C6" s="2" t="s">
        <v>38</v>
      </c>
      <c r="D6" s="2"/>
      <c r="E6" s="2" t="s">
        <v>125</v>
      </c>
      <c r="F6" s="2" t="s">
        <v>592</v>
      </c>
      <c r="G6" s="2" t="s">
        <v>597</v>
      </c>
      <c r="H6" s="2" t="s">
        <v>594</v>
      </c>
      <c r="I6" s="2"/>
    </row>
    <row r="7" spans="1:9">
      <c r="A7" s="2" t="s">
        <v>166</v>
      </c>
      <c r="B7" s="2" t="s">
        <v>168</v>
      </c>
      <c r="C7" s="2" t="s">
        <v>38</v>
      </c>
      <c r="D7" s="2"/>
      <c r="E7" s="2" t="s">
        <v>125</v>
      </c>
      <c r="F7" s="2" t="s">
        <v>592</v>
      </c>
      <c r="G7" s="2" t="s">
        <v>596</v>
      </c>
      <c r="H7" s="2" t="s">
        <v>594</v>
      </c>
      <c r="I7" s="2"/>
    </row>
    <row r="8" spans="1:9">
      <c r="A8" s="2" t="s">
        <v>177</v>
      </c>
      <c r="B8" s="2" t="s">
        <v>179</v>
      </c>
      <c r="C8" s="2" t="s">
        <v>33</v>
      </c>
      <c r="D8" s="2"/>
      <c r="E8" s="2" t="s">
        <v>125</v>
      </c>
      <c r="F8" s="2" t="s">
        <v>592</v>
      </c>
      <c r="G8" s="2" t="s">
        <v>596</v>
      </c>
      <c r="H8" s="2" t="s">
        <v>594</v>
      </c>
      <c r="I8" s="2"/>
    </row>
    <row r="9" spans="1:9">
      <c r="A9" s="2" t="s">
        <v>186</v>
      </c>
      <c r="B9" s="2" t="s">
        <v>187</v>
      </c>
      <c r="C9" s="2" t="s">
        <v>33</v>
      </c>
      <c r="D9" s="2"/>
      <c r="E9" s="2" t="s">
        <v>125</v>
      </c>
      <c r="F9" s="2" t="s">
        <v>592</v>
      </c>
      <c r="G9" s="2" t="s">
        <v>597</v>
      </c>
      <c r="H9" s="2" t="s">
        <v>594</v>
      </c>
      <c r="I9" s="2"/>
    </row>
    <row r="10" spans="1:9">
      <c r="A10" s="2" t="s">
        <v>193</v>
      </c>
      <c r="B10" s="2" t="s">
        <v>196</v>
      </c>
      <c r="C10" s="2" t="s">
        <v>22</v>
      </c>
      <c r="D10" s="2"/>
      <c r="E10" s="2" t="s">
        <v>125</v>
      </c>
      <c r="F10" s="2" t="s">
        <v>592</v>
      </c>
      <c r="G10" s="2" t="s">
        <v>596</v>
      </c>
      <c r="H10" s="2" t="s">
        <v>594</v>
      </c>
      <c r="I10" s="2"/>
    </row>
    <row r="11" spans="1:9">
      <c r="A11" s="2" t="s">
        <v>207</v>
      </c>
      <c r="B11" s="2" t="s">
        <v>209</v>
      </c>
      <c r="C11" s="2" t="s">
        <v>22</v>
      </c>
      <c r="D11" s="2" t="s">
        <v>211</v>
      </c>
      <c r="E11" s="2" t="s">
        <v>125</v>
      </c>
      <c r="F11" s="2" t="s">
        <v>592</v>
      </c>
      <c r="G11" s="2" t="s">
        <v>595</v>
      </c>
      <c r="H11" s="2" t="s">
        <v>594</v>
      </c>
      <c r="I11" s="2"/>
    </row>
    <row r="12" spans="1:9">
      <c r="A12" s="2" t="s">
        <v>212</v>
      </c>
      <c r="B12" s="2" t="s">
        <v>214</v>
      </c>
      <c r="C12" s="2" t="s">
        <v>22</v>
      </c>
      <c r="D12" s="2"/>
      <c r="E12" s="2" t="s">
        <v>125</v>
      </c>
      <c r="F12" s="2" t="s">
        <v>592</v>
      </c>
      <c r="G12" s="2" t="s">
        <v>596</v>
      </c>
      <c r="H12" s="2" t="s">
        <v>594</v>
      </c>
      <c r="I12" s="2"/>
    </row>
    <row r="13" spans="1:9">
      <c r="A13" s="2" t="s">
        <v>218</v>
      </c>
      <c r="B13" s="2" t="s">
        <v>220</v>
      </c>
      <c r="C13" s="2" t="s">
        <v>22</v>
      </c>
      <c r="D13" s="2"/>
      <c r="E13" s="2" t="s">
        <v>125</v>
      </c>
      <c r="F13" s="2" t="s">
        <v>592</v>
      </c>
      <c r="G13" s="2" t="s">
        <v>596</v>
      </c>
      <c r="H13" s="2" t="s">
        <v>594</v>
      </c>
      <c r="I13" s="2"/>
    </row>
    <row r="14" spans="1:9">
      <c r="A14" s="2" t="s">
        <v>227</v>
      </c>
      <c r="B14" s="2" t="s">
        <v>229</v>
      </c>
      <c r="C14" s="2" t="s">
        <v>22</v>
      </c>
      <c r="D14" s="2"/>
      <c r="E14" s="2" t="s">
        <v>125</v>
      </c>
      <c r="F14" s="2" t="s">
        <v>592</v>
      </c>
      <c r="G14" s="2" t="s">
        <v>597</v>
      </c>
      <c r="H14" s="2" t="s">
        <v>594</v>
      </c>
      <c r="I14" s="2"/>
    </row>
    <row r="15" spans="1:9">
      <c r="A15" s="2" t="s">
        <v>239</v>
      </c>
      <c r="B15" s="2" t="s">
        <v>240</v>
      </c>
      <c r="C15" s="2" t="s">
        <v>22</v>
      </c>
      <c r="D15" s="2"/>
      <c r="E15" s="2" t="s">
        <v>125</v>
      </c>
      <c r="F15" s="2" t="s">
        <v>592</v>
      </c>
      <c r="G15" s="2" t="s">
        <v>596</v>
      </c>
      <c r="H15" s="2" t="s">
        <v>594</v>
      </c>
      <c r="I15" s="2"/>
    </row>
    <row r="16" spans="1:9">
      <c r="A16" s="2" t="s">
        <v>248</v>
      </c>
      <c r="B16" s="2" t="s">
        <v>250</v>
      </c>
      <c r="C16" s="2" t="s">
        <v>22</v>
      </c>
      <c r="D16" s="2"/>
      <c r="E16" s="2" t="s">
        <v>125</v>
      </c>
      <c r="F16" s="2" t="s">
        <v>592</v>
      </c>
      <c r="G16" s="2" t="s">
        <v>597</v>
      </c>
      <c r="H16" s="2" t="s">
        <v>594</v>
      </c>
      <c r="I16" s="2"/>
    </row>
    <row r="17" spans="1:9">
      <c r="A17" s="2" t="s">
        <v>256</v>
      </c>
      <c r="B17" s="2" t="s">
        <v>257</v>
      </c>
      <c r="C17" s="2" t="s">
        <v>22</v>
      </c>
      <c r="D17" s="2"/>
      <c r="E17" s="2" t="s">
        <v>125</v>
      </c>
      <c r="F17" s="2" t="s">
        <v>592</v>
      </c>
      <c r="G17" s="2" t="s">
        <v>596</v>
      </c>
      <c r="H17" s="2" t="s">
        <v>594</v>
      </c>
      <c r="I17" s="2"/>
    </row>
    <row r="18" spans="1:9">
      <c r="A18" s="2" t="s">
        <v>262</v>
      </c>
      <c r="B18" s="2" t="s">
        <v>264</v>
      </c>
      <c r="C18" s="2" t="s">
        <v>22</v>
      </c>
      <c r="D18" s="2"/>
      <c r="E18" s="2" t="s">
        <v>125</v>
      </c>
      <c r="F18" s="2" t="s">
        <v>592</v>
      </c>
      <c r="G18" s="2" t="s">
        <v>597</v>
      </c>
      <c r="H18" s="2" t="s">
        <v>594</v>
      </c>
      <c r="I18" s="2"/>
    </row>
    <row r="19" spans="1:9">
      <c r="A19" s="2" t="s">
        <v>266</v>
      </c>
      <c r="B19" s="2" t="s">
        <v>268</v>
      </c>
      <c r="C19" s="2" t="s">
        <v>28</v>
      </c>
      <c r="D19" s="2"/>
      <c r="E19" s="2" t="s">
        <v>125</v>
      </c>
      <c r="F19" s="2" t="s">
        <v>592</v>
      </c>
      <c r="G19" s="2" t="s">
        <v>597</v>
      </c>
      <c r="H19" s="2" t="s">
        <v>594</v>
      </c>
      <c r="I19" s="2"/>
    </row>
    <row r="20" spans="1:9">
      <c r="A20" s="2" t="s">
        <v>279</v>
      </c>
      <c r="B20" s="2" t="s">
        <v>280</v>
      </c>
      <c r="C20" s="2" t="s">
        <v>28</v>
      </c>
      <c r="D20" s="2"/>
      <c r="E20" s="2" t="s">
        <v>125</v>
      </c>
      <c r="F20" s="2" t="s">
        <v>592</v>
      </c>
      <c r="G20" s="2" t="s">
        <v>597</v>
      </c>
      <c r="H20" s="2" t="s">
        <v>594</v>
      </c>
      <c r="I20" s="2"/>
    </row>
    <row r="21" spans="1:9">
      <c r="A21" s="2" t="s">
        <v>281</v>
      </c>
      <c r="B21" s="2" t="s">
        <v>282</v>
      </c>
      <c r="C21" s="2" t="s">
        <v>28</v>
      </c>
      <c r="D21" s="2"/>
      <c r="E21" s="2" t="s">
        <v>125</v>
      </c>
      <c r="F21" s="2" t="s">
        <v>592</v>
      </c>
      <c r="G21" s="2" t="s">
        <v>597</v>
      </c>
      <c r="H21" s="2" t="s">
        <v>594</v>
      </c>
      <c r="I21" s="2"/>
    </row>
    <row r="22" spans="1:9">
      <c r="A22" s="2" t="s">
        <v>283</v>
      </c>
      <c r="B22" s="2" t="s">
        <v>285</v>
      </c>
      <c r="C22" s="2" t="s">
        <v>28</v>
      </c>
      <c r="D22" s="2"/>
      <c r="E22" s="2" t="s">
        <v>125</v>
      </c>
      <c r="F22" s="2" t="s">
        <v>592</v>
      </c>
      <c r="G22" s="2" t="s">
        <v>597</v>
      </c>
      <c r="H22" s="2" t="s">
        <v>594</v>
      </c>
      <c r="I22" s="2"/>
    </row>
    <row r="23" spans="1:9">
      <c r="A23" s="2" t="s">
        <v>290</v>
      </c>
      <c r="B23" s="2" t="s">
        <v>292</v>
      </c>
      <c r="C23" s="2" t="s">
        <v>28</v>
      </c>
      <c r="D23" s="2"/>
      <c r="E23" s="2" t="s">
        <v>125</v>
      </c>
      <c r="F23" s="2" t="s">
        <v>592</v>
      </c>
      <c r="G23" s="2" t="s">
        <v>597</v>
      </c>
      <c r="H23" s="2" t="s">
        <v>594</v>
      </c>
      <c r="I23" s="2"/>
    </row>
    <row r="24" spans="1:9">
      <c r="A24" s="2" t="s">
        <v>296</v>
      </c>
      <c r="B24" s="2" t="s">
        <v>298</v>
      </c>
      <c r="C24" s="2" t="s">
        <v>28</v>
      </c>
      <c r="D24" s="2"/>
      <c r="E24" s="2" t="s">
        <v>125</v>
      </c>
      <c r="F24" s="2" t="s">
        <v>592</v>
      </c>
      <c r="G24" s="2" t="s">
        <v>597</v>
      </c>
      <c r="H24" s="2" t="s">
        <v>594</v>
      </c>
      <c r="I24" s="2"/>
    </row>
    <row r="25" spans="1:9">
      <c r="A25" s="2" t="s">
        <v>301</v>
      </c>
      <c r="B25" s="2" t="s">
        <v>303</v>
      </c>
      <c r="C25" s="2" t="s">
        <v>28</v>
      </c>
      <c r="D25" s="2"/>
      <c r="E25" s="2" t="s">
        <v>125</v>
      </c>
      <c r="F25" s="2" t="s">
        <v>592</v>
      </c>
      <c r="G25" s="2" t="s">
        <v>596</v>
      </c>
      <c r="H25" s="2" t="s">
        <v>594</v>
      </c>
      <c r="I25" s="2"/>
    </row>
    <row r="26" spans="1:9">
      <c r="A26" s="2" t="s">
        <v>309</v>
      </c>
      <c r="B26" s="2" t="s">
        <v>120</v>
      </c>
      <c r="C26" s="2" t="s">
        <v>33</v>
      </c>
      <c r="D26" s="2" t="s">
        <v>131</v>
      </c>
      <c r="E26" s="2" t="s">
        <v>125</v>
      </c>
      <c r="F26" s="2" t="s">
        <v>592</v>
      </c>
      <c r="G26" s="2" t="s">
        <v>595</v>
      </c>
      <c r="H26" s="2" t="s">
        <v>594</v>
      </c>
      <c r="I26" s="2"/>
    </row>
    <row r="27" spans="1:9">
      <c r="A27" s="2" t="s">
        <v>322</v>
      </c>
      <c r="B27" s="2" t="s">
        <v>323</v>
      </c>
      <c r="C27" s="2" t="s">
        <v>33</v>
      </c>
      <c r="D27" s="2"/>
      <c r="E27" s="2" t="s">
        <v>125</v>
      </c>
      <c r="F27" s="2" t="s">
        <v>592</v>
      </c>
      <c r="G27" s="2" t="s">
        <v>596</v>
      </c>
      <c r="H27" s="2" t="s">
        <v>594</v>
      </c>
      <c r="I27" s="2"/>
    </row>
    <row r="28" spans="1:9">
      <c r="A28" s="2" t="s">
        <v>326</v>
      </c>
      <c r="B28" s="2" t="s">
        <v>327</v>
      </c>
      <c r="C28" s="2" t="s">
        <v>44</v>
      </c>
      <c r="D28" s="2"/>
      <c r="E28" s="2" t="s">
        <v>101</v>
      </c>
      <c r="F28" s="2" t="s">
        <v>592</v>
      </c>
      <c r="G28" s="2" t="s">
        <v>598</v>
      </c>
      <c r="H28" s="2" t="s">
        <v>594</v>
      </c>
      <c r="I28" s="2"/>
    </row>
    <row r="29" spans="1:9">
      <c r="A29" s="2" t="s">
        <v>331</v>
      </c>
      <c r="B29" s="2" t="s">
        <v>96</v>
      </c>
      <c r="C29" s="2" t="s">
        <v>44</v>
      </c>
      <c r="D29" s="2" t="s">
        <v>113</v>
      </c>
      <c r="E29" s="2" t="s">
        <v>101</v>
      </c>
      <c r="F29" s="2" t="s">
        <v>592</v>
      </c>
      <c r="G29" s="2" t="s">
        <v>593</v>
      </c>
      <c r="H29" s="2" t="s">
        <v>594</v>
      </c>
      <c r="I29" s="2"/>
    </row>
    <row r="30" spans="1:9">
      <c r="A30" s="2" t="s">
        <v>334</v>
      </c>
      <c r="B30" s="2" t="s">
        <v>335</v>
      </c>
      <c r="C30" s="2" t="s">
        <v>33</v>
      </c>
      <c r="D30" s="2"/>
      <c r="E30" s="2" t="s">
        <v>125</v>
      </c>
      <c r="F30" s="2" t="s">
        <v>592</v>
      </c>
      <c r="G30" s="2" t="s">
        <v>597</v>
      </c>
      <c r="H30" s="2" t="s">
        <v>594</v>
      </c>
      <c r="I30" s="2"/>
    </row>
    <row r="31" spans="1:9">
      <c r="A31" s="2" t="s">
        <v>337</v>
      </c>
      <c r="B31" s="2" t="s">
        <v>338</v>
      </c>
      <c r="C31" s="2" t="s">
        <v>33</v>
      </c>
      <c r="D31" s="2" t="s">
        <v>151</v>
      </c>
      <c r="E31" s="2" t="s">
        <v>125</v>
      </c>
      <c r="F31" s="2" t="s">
        <v>592</v>
      </c>
      <c r="G31" s="2" t="s">
        <v>595</v>
      </c>
      <c r="H31" s="2" t="s">
        <v>594</v>
      </c>
      <c r="I31" s="2"/>
    </row>
    <row r="32" spans="1:9">
      <c r="A32" s="2" t="s">
        <v>343</v>
      </c>
      <c r="B32" s="2" t="s">
        <v>345</v>
      </c>
      <c r="C32" s="2" t="s">
        <v>33</v>
      </c>
      <c r="D32" s="2"/>
      <c r="E32" s="2" t="s">
        <v>125</v>
      </c>
      <c r="F32" s="2" t="s">
        <v>592</v>
      </c>
      <c r="G32" s="2" t="s">
        <v>597</v>
      </c>
      <c r="H32" s="2" t="s">
        <v>594</v>
      </c>
      <c r="I32" s="2"/>
    </row>
    <row r="33" spans="1:9">
      <c r="A33" s="2" t="s">
        <v>352</v>
      </c>
      <c r="B33" s="2" t="s">
        <v>353</v>
      </c>
      <c r="C33" s="2" t="s">
        <v>38</v>
      </c>
      <c r="D33" s="2"/>
      <c r="E33" s="2" t="s">
        <v>125</v>
      </c>
      <c r="F33" s="2" t="s">
        <v>592</v>
      </c>
      <c r="G33" s="2" t="s">
        <v>597</v>
      </c>
      <c r="H33" s="2" t="s">
        <v>594</v>
      </c>
      <c r="I33" s="2"/>
    </row>
    <row r="34" spans="1:9">
      <c r="A34" s="2" t="s">
        <v>354</v>
      </c>
      <c r="B34" s="2" t="s">
        <v>355</v>
      </c>
      <c r="C34" s="2" t="s">
        <v>38</v>
      </c>
      <c r="D34" s="2"/>
      <c r="E34" s="2" t="s">
        <v>125</v>
      </c>
      <c r="F34" s="2" t="s">
        <v>592</v>
      </c>
      <c r="G34" s="2" t="s">
        <v>597</v>
      </c>
      <c r="H34" s="2" t="s">
        <v>594</v>
      </c>
      <c r="I34" s="2"/>
    </row>
    <row r="35" spans="1:9">
      <c r="A35" s="2" t="s">
        <v>357</v>
      </c>
      <c r="B35" s="2" t="s">
        <v>358</v>
      </c>
      <c r="C35" s="2" t="s">
        <v>38</v>
      </c>
      <c r="D35" s="2"/>
      <c r="E35" s="2" t="s">
        <v>125</v>
      </c>
      <c r="F35" s="2" t="s">
        <v>592</v>
      </c>
      <c r="G35" s="2" t="s">
        <v>597</v>
      </c>
      <c r="H35" s="2" t="s">
        <v>594</v>
      </c>
      <c r="I35" s="2"/>
    </row>
    <row r="36" spans="1:9">
      <c r="A36" s="2" t="s">
        <v>366</v>
      </c>
      <c r="B36" s="2" t="s">
        <v>368</v>
      </c>
      <c r="C36" s="2" t="s">
        <v>38</v>
      </c>
      <c r="D36" s="2"/>
      <c r="E36" s="2" t="s">
        <v>125</v>
      </c>
      <c r="F36" s="2" t="s">
        <v>592</v>
      </c>
      <c r="G36" s="2" t="s">
        <v>596</v>
      </c>
      <c r="H36" s="2" t="s">
        <v>594</v>
      </c>
      <c r="I36" s="2"/>
    </row>
    <row r="37" spans="1:9">
      <c r="A37" s="2" t="s">
        <v>376</v>
      </c>
      <c r="B37" s="2" t="s">
        <v>377</v>
      </c>
      <c r="C37" s="2" t="s">
        <v>33</v>
      </c>
      <c r="D37" s="2"/>
      <c r="E37" s="2" t="s">
        <v>125</v>
      </c>
      <c r="F37" s="2" t="s">
        <v>592</v>
      </c>
      <c r="G37" s="2" t="s">
        <v>596</v>
      </c>
      <c r="H37" s="2" t="s">
        <v>594</v>
      </c>
      <c r="I37" s="2"/>
    </row>
    <row r="38" spans="1:9">
      <c r="A38" s="2" t="s">
        <v>379</v>
      </c>
      <c r="B38" s="2" t="s">
        <v>381</v>
      </c>
      <c r="C38" s="2" t="s">
        <v>44</v>
      </c>
      <c r="D38" s="2"/>
      <c r="E38" s="2" t="s">
        <v>382</v>
      </c>
      <c r="F38" s="2" t="s">
        <v>592</v>
      </c>
      <c r="G38" s="2" t="s">
        <v>597</v>
      </c>
      <c r="H38" s="2" t="s">
        <v>594</v>
      </c>
      <c r="I38" s="2"/>
    </row>
    <row r="39" spans="1:9">
      <c r="A39" s="2" t="s">
        <v>392</v>
      </c>
      <c r="B39" s="2" t="s">
        <v>394</v>
      </c>
      <c r="C39" s="2" t="s">
        <v>28</v>
      </c>
      <c r="D39" s="2"/>
      <c r="E39" s="2" t="s">
        <v>125</v>
      </c>
      <c r="F39" s="2" t="s">
        <v>592</v>
      </c>
      <c r="G39" s="2" t="s">
        <v>596</v>
      </c>
      <c r="H39" s="2" t="s">
        <v>594</v>
      </c>
      <c r="I39" s="2"/>
    </row>
    <row r="40" spans="1:9">
      <c r="A40" s="2" t="s">
        <v>401</v>
      </c>
      <c r="B40" s="2" t="s">
        <v>209</v>
      </c>
      <c r="C40" s="2" t="s">
        <v>22</v>
      </c>
      <c r="D40" s="2" t="s">
        <v>211</v>
      </c>
      <c r="E40" s="2" t="s">
        <v>125</v>
      </c>
      <c r="F40" s="2" t="s">
        <v>592</v>
      </c>
      <c r="G40" s="2" t="s">
        <v>595</v>
      </c>
      <c r="H40" s="2" t="s">
        <v>594</v>
      </c>
      <c r="I40" s="2"/>
    </row>
    <row r="41" spans="1:9">
      <c r="A41" s="2" t="s">
        <v>406</v>
      </c>
      <c r="B41" s="2" t="s">
        <v>407</v>
      </c>
      <c r="C41" s="2" t="s">
        <v>28</v>
      </c>
      <c r="D41" s="2"/>
      <c r="E41" s="2" t="s">
        <v>125</v>
      </c>
      <c r="F41" s="2" t="s">
        <v>592</v>
      </c>
      <c r="G41" s="2" t="s">
        <v>597</v>
      </c>
      <c r="H41" s="2" t="s">
        <v>594</v>
      </c>
      <c r="I41" s="2"/>
    </row>
    <row r="42" spans="1:9">
      <c r="A42" s="2" t="s">
        <v>409</v>
      </c>
      <c r="B42" s="2" t="s">
        <v>410</v>
      </c>
      <c r="C42" s="2" t="s">
        <v>28</v>
      </c>
      <c r="D42" s="2"/>
      <c r="E42" s="2" t="s">
        <v>125</v>
      </c>
      <c r="F42" s="2" t="s">
        <v>592</v>
      </c>
      <c r="G42" s="2" t="s">
        <v>597</v>
      </c>
      <c r="H42" s="2" t="s">
        <v>594</v>
      </c>
      <c r="I42" s="2"/>
    </row>
    <row r="43" spans="1:9">
      <c r="A43" s="2" t="s">
        <v>411</v>
      </c>
      <c r="B43" s="2" t="s">
        <v>412</v>
      </c>
      <c r="C43" s="2" t="s">
        <v>28</v>
      </c>
      <c r="D43" s="2"/>
      <c r="E43" s="2" t="s">
        <v>125</v>
      </c>
      <c r="F43" s="2" t="s">
        <v>592</v>
      </c>
      <c r="G43" s="2" t="s">
        <v>597</v>
      </c>
      <c r="H43" s="2" t="s">
        <v>594</v>
      </c>
      <c r="I43" s="2"/>
    </row>
    <row r="44" spans="1:9">
      <c r="A44" s="2" t="s">
        <v>414</v>
      </c>
      <c r="B44" s="2" t="s">
        <v>416</v>
      </c>
      <c r="C44" s="2" t="s">
        <v>50</v>
      </c>
      <c r="D44" s="2" t="s">
        <v>427</v>
      </c>
      <c r="E44" s="2" t="s">
        <v>125</v>
      </c>
      <c r="F44" s="2" t="s">
        <v>592</v>
      </c>
      <c r="G44" s="2" t="s">
        <v>599</v>
      </c>
      <c r="H44" s="2" t="s">
        <v>594</v>
      </c>
      <c r="I44" s="2"/>
    </row>
    <row r="45" spans="1:9">
      <c r="A45" s="2" t="s">
        <v>429</v>
      </c>
      <c r="B45" s="2" t="s">
        <v>430</v>
      </c>
      <c r="C45" s="2" t="s">
        <v>50</v>
      </c>
      <c r="D45" s="2"/>
      <c r="E45" s="2" t="s">
        <v>125</v>
      </c>
      <c r="F45" s="2" t="s">
        <v>592</v>
      </c>
      <c r="G45" s="2" t="s">
        <v>597</v>
      </c>
      <c r="H45" s="2" t="s">
        <v>594</v>
      </c>
      <c r="I45" s="2"/>
    </row>
    <row r="46" spans="1:9">
      <c r="A46" s="2" t="s">
        <v>436</v>
      </c>
      <c r="B46" s="2" t="s">
        <v>437</v>
      </c>
      <c r="C46" s="2" t="s">
        <v>50</v>
      </c>
      <c r="D46" s="2"/>
      <c r="E46" s="2" t="s">
        <v>125</v>
      </c>
      <c r="F46" s="2" t="s">
        <v>592</v>
      </c>
      <c r="G46" s="2" t="s">
        <v>597</v>
      </c>
      <c r="H46" s="2" t="s">
        <v>594</v>
      </c>
      <c r="I46" s="2"/>
    </row>
    <row r="47" spans="1:9">
      <c r="A47" s="2" t="s">
        <v>440</v>
      </c>
      <c r="B47" s="2" t="s">
        <v>441</v>
      </c>
      <c r="C47" s="2" t="s">
        <v>50</v>
      </c>
      <c r="D47" s="2"/>
      <c r="E47" s="2" t="s">
        <v>125</v>
      </c>
      <c r="F47" s="2" t="s">
        <v>592</v>
      </c>
      <c r="G47" s="2" t="s">
        <v>597</v>
      </c>
      <c r="H47" s="2" t="s">
        <v>594</v>
      </c>
      <c r="I47" s="2"/>
    </row>
    <row r="48" spans="1:9">
      <c r="A48" s="2" t="s">
        <v>445</v>
      </c>
      <c r="B48" s="2" t="s">
        <v>446</v>
      </c>
      <c r="C48" s="2" t="s">
        <v>50</v>
      </c>
      <c r="D48" s="2"/>
      <c r="E48" s="2" t="s">
        <v>125</v>
      </c>
      <c r="F48" s="2" t="s">
        <v>592</v>
      </c>
      <c r="G48" s="2" t="s">
        <v>600</v>
      </c>
      <c r="H48" s="2" t="s">
        <v>594</v>
      </c>
      <c r="I48" s="2"/>
    </row>
    <row r="49" spans="1:9">
      <c r="A49" s="2" t="s">
        <v>451</v>
      </c>
      <c r="B49" s="2" t="s">
        <v>453</v>
      </c>
      <c r="C49" s="2" t="s">
        <v>50</v>
      </c>
      <c r="D49" s="2"/>
      <c r="E49" s="2" t="s">
        <v>125</v>
      </c>
      <c r="F49" s="2" t="s">
        <v>592</v>
      </c>
      <c r="G49" s="2" t="s">
        <v>597</v>
      </c>
      <c r="H49" s="2" t="s">
        <v>594</v>
      </c>
      <c r="I49" s="2"/>
    </row>
    <row r="50" spans="1:9">
      <c r="A50" s="2" t="s">
        <v>458</v>
      </c>
      <c r="B50" s="2" t="s">
        <v>460</v>
      </c>
      <c r="C50" s="2" t="s">
        <v>50</v>
      </c>
      <c r="D50" s="2"/>
      <c r="E50" s="2" t="s">
        <v>125</v>
      </c>
      <c r="F50" s="2" t="s">
        <v>592</v>
      </c>
      <c r="G50" s="2" t="s">
        <v>600</v>
      </c>
      <c r="H50" s="2" t="s">
        <v>594</v>
      </c>
      <c r="I50" s="2"/>
    </row>
    <row r="51" spans="1:9">
      <c r="A51" s="2" t="s">
        <v>464</v>
      </c>
      <c r="B51" s="2" t="s">
        <v>465</v>
      </c>
      <c r="C51" s="2" t="s">
        <v>33</v>
      </c>
      <c r="D51" s="2"/>
      <c r="E51" s="2" t="s">
        <v>125</v>
      </c>
      <c r="F51" s="2" t="s">
        <v>592</v>
      </c>
      <c r="G51" s="2" t="s">
        <v>597</v>
      </c>
      <c r="H51" s="2" t="s">
        <v>594</v>
      </c>
      <c r="I51" s="2"/>
    </row>
    <row r="52" spans="1:9" ht="40.5">
      <c r="A52" s="2" t="s">
        <v>474</v>
      </c>
      <c r="B52" s="2" t="s">
        <v>475</v>
      </c>
      <c r="C52" s="2" t="s">
        <v>22</v>
      </c>
      <c r="D52" s="2"/>
      <c r="E52" s="2" t="s">
        <v>125</v>
      </c>
      <c r="F52" s="2" t="s">
        <v>592</v>
      </c>
      <c r="G52" s="2" t="s">
        <v>596</v>
      </c>
      <c r="H52" s="2" t="s">
        <v>594</v>
      </c>
      <c r="I52" s="2"/>
    </row>
    <row r="53" spans="1:9">
      <c r="A53" s="2" t="s">
        <v>481</v>
      </c>
      <c r="B53" s="2" t="s">
        <v>416</v>
      </c>
      <c r="C53" s="2" t="s">
        <v>50</v>
      </c>
      <c r="D53" s="2" t="s">
        <v>427</v>
      </c>
      <c r="E53" s="2" t="s">
        <v>125</v>
      </c>
      <c r="F53" s="2" t="s">
        <v>592</v>
      </c>
      <c r="G53" s="2" t="s">
        <v>599</v>
      </c>
      <c r="H53" s="2" t="s">
        <v>594</v>
      </c>
      <c r="I53" s="2"/>
    </row>
    <row r="54" spans="1:9">
      <c r="A54" s="2" t="s">
        <v>491</v>
      </c>
      <c r="B54" s="2" t="s">
        <v>492</v>
      </c>
      <c r="C54" s="2" t="s">
        <v>50</v>
      </c>
      <c r="D54" s="2"/>
      <c r="E54" s="2" t="s">
        <v>125</v>
      </c>
      <c r="F54" s="2" t="s">
        <v>592</v>
      </c>
      <c r="G54" s="2" t="s">
        <v>597</v>
      </c>
      <c r="H54" s="2" t="s">
        <v>594</v>
      </c>
      <c r="I54" s="2"/>
    </row>
    <row r="55" spans="1:9">
      <c r="A55" s="2" t="s">
        <v>493</v>
      </c>
      <c r="B55" s="2" t="s">
        <v>494</v>
      </c>
      <c r="C55" s="2" t="s">
        <v>50</v>
      </c>
      <c r="D55" s="2"/>
      <c r="E55" s="2" t="s">
        <v>125</v>
      </c>
      <c r="F55" s="2" t="s">
        <v>592</v>
      </c>
      <c r="G55" s="2" t="s">
        <v>597</v>
      </c>
      <c r="H55" s="2" t="s">
        <v>594</v>
      </c>
      <c r="I55" s="2"/>
    </row>
    <row r="56" spans="1:9">
      <c r="A56" s="2" t="s">
        <v>495</v>
      </c>
      <c r="B56" s="2" t="s">
        <v>496</v>
      </c>
      <c r="C56" s="2" t="s">
        <v>50</v>
      </c>
      <c r="D56" s="2"/>
      <c r="E56" s="2" t="s">
        <v>125</v>
      </c>
      <c r="F56" s="2" t="s">
        <v>592</v>
      </c>
      <c r="G56" s="2" t="s">
        <v>597</v>
      </c>
      <c r="H56" s="2" t="s">
        <v>594</v>
      </c>
      <c r="I56" s="2"/>
    </row>
    <row r="57" spans="1:9">
      <c r="A57" s="2" t="s">
        <v>498</v>
      </c>
      <c r="B57" s="2" t="s">
        <v>499</v>
      </c>
      <c r="C57" s="2" t="s">
        <v>33</v>
      </c>
      <c r="D57" s="2"/>
      <c r="E57" s="2" t="s">
        <v>125</v>
      </c>
      <c r="F57" s="2" t="s">
        <v>592</v>
      </c>
      <c r="G57" s="2" t="s">
        <v>597</v>
      </c>
      <c r="H57" s="2" t="s">
        <v>594</v>
      </c>
      <c r="I57" s="2"/>
    </row>
    <row r="58" spans="1:9">
      <c r="A58" s="2" t="s">
        <v>500</v>
      </c>
      <c r="B58" s="2" t="s">
        <v>501</v>
      </c>
      <c r="C58" s="2" t="s">
        <v>33</v>
      </c>
      <c r="D58" s="2"/>
      <c r="E58" s="2" t="s">
        <v>125</v>
      </c>
      <c r="F58" s="2" t="s">
        <v>592</v>
      </c>
      <c r="G58" s="2" t="s">
        <v>597</v>
      </c>
      <c r="H58" s="2" t="s">
        <v>594</v>
      </c>
      <c r="I58" s="2"/>
    </row>
    <row r="59" spans="1:9">
      <c r="A59" s="2" t="s">
        <v>502</v>
      </c>
      <c r="B59" s="2" t="s">
        <v>503</v>
      </c>
      <c r="C59" s="2" t="s">
        <v>50</v>
      </c>
      <c r="D59" s="2"/>
      <c r="E59" s="2" t="s">
        <v>125</v>
      </c>
      <c r="F59" s="2" t="s">
        <v>592</v>
      </c>
      <c r="G59" s="2" t="s">
        <v>597</v>
      </c>
      <c r="H59" s="2" t="s">
        <v>594</v>
      </c>
      <c r="I59" s="2"/>
    </row>
    <row r="60" spans="1:9">
      <c r="A60" s="2" t="s">
        <v>505</v>
      </c>
      <c r="B60" s="2" t="s">
        <v>506</v>
      </c>
      <c r="C60" s="2" t="s">
        <v>33</v>
      </c>
      <c r="D60" s="2"/>
      <c r="E60" s="2" t="s">
        <v>125</v>
      </c>
      <c r="F60" s="2" t="s">
        <v>592</v>
      </c>
      <c r="G60" s="2" t="s">
        <v>597</v>
      </c>
      <c r="H60" s="2" t="s">
        <v>594</v>
      </c>
      <c r="I60" s="2"/>
    </row>
    <row r="61" spans="1:9">
      <c r="A61" s="2" t="s">
        <v>508</v>
      </c>
      <c r="B61" s="2" t="s">
        <v>509</v>
      </c>
      <c r="C61" s="2" t="s">
        <v>33</v>
      </c>
      <c r="D61" s="2"/>
      <c r="E61" s="2" t="s">
        <v>125</v>
      </c>
      <c r="F61" s="2" t="s">
        <v>592</v>
      </c>
      <c r="G61" s="2" t="s">
        <v>600</v>
      </c>
      <c r="H61" s="2" t="s">
        <v>594</v>
      </c>
      <c r="I61" s="2"/>
    </row>
    <row r="62" spans="1:9">
      <c r="A62" s="2" t="s">
        <v>511</v>
      </c>
      <c r="B62" s="2" t="s">
        <v>512</v>
      </c>
      <c r="C62" s="2" t="s">
        <v>44</v>
      </c>
      <c r="D62" s="2"/>
      <c r="E62" s="2" t="s">
        <v>382</v>
      </c>
      <c r="F62" s="2" t="s">
        <v>592</v>
      </c>
      <c r="G62" s="2" t="s">
        <v>597</v>
      </c>
      <c r="H62" s="2" t="s">
        <v>594</v>
      </c>
      <c r="I62" s="2"/>
    </row>
    <row r="63" spans="1:9">
      <c r="A63" s="2" t="s">
        <v>517</v>
      </c>
      <c r="B63" s="2" t="s">
        <v>518</v>
      </c>
      <c r="C63" s="2" t="s">
        <v>44</v>
      </c>
      <c r="D63" s="2"/>
      <c r="E63" s="2" t="s">
        <v>382</v>
      </c>
      <c r="F63" s="2" t="s">
        <v>592</v>
      </c>
      <c r="G63" s="2" t="s">
        <v>597</v>
      </c>
      <c r="H63" s="2" t="s">
        <v>594</v>
      </c>
      <c r="I63" s="2"/>
    </row>
    <row r="64" spans="1:9">
      <c r="A64" s="2" t="s">
        <v>520</v>
      </c>
      <c r="B64" s="2" t="s">
        <v>521</v>
      </c>
      <c r="C64" s="2" t="s">
        <v>44</v>
      </c>
      <c r="D64" s="2"/>
      <c r="E64" s="2" t="s">
        <v>382</v>
      </c>
      <c r="F64" s="2" t="s">
        <v>592</v>
      </c>
      <c r="G64" s="2" t="s">
        <v>597</v>
      </c>
      <c r="H64" s="2" t="s">
        <v>594</v>
      </c>
      <c r="I64" s="2"/>
    </row>
    <row r="65" spans="1:9">
      <c r="A65" s="2" t="s">
        <v>523</v>
      </c>
      <c r="B65" s="2" t="s">
        <v>524</v>
      </c>
      <c r="C65" s="2" t="s">
        <v>50</v>
      </c>
      <c r="D65" s="2"/>
      <c r="E65" s="2" t="s">
        <v>125</v>
      </c>
      <c r="F65" s="2" t="s">
        <v>592</v>
      </c>
      <c r="G65" s="2" t="s">
        <v>597</v>
      </c>
      <c r="H65" s="2" t="s">
        <v>594</v>
      </c>
      <c r="I65" s="2"/>
    </row>
    <row r="66" spans="1:9">
      <c r="A66" s="2" t="s">
        <v>525</v>
      </c>
      <c r="B66" s="2" t="s">
        <v>526</v>
      </c>
      <c r="C66" s="2" t="s">
        <v>50</v>
      </c>
      <c r="D66" s="2"/>
      <c r="E66" s="2" t="s">
        <v>125</v>
      </c>
      <c r="F66" s="2" t="s">
        <v>592</v>
      </c>
      <c r="G66" s="2" t="s">
        <v>597</v>
      </c>
      <c r="H66" s="2" t="s">
        <v>594</v>
      </c>
      <c r="I66" s="2"/>
    </row>
    <row r="67" spans="1:9" ht="27">
      <c r="A67" s="2" t="s">
        <v>527</v>
      </c>
      <c r="B67" s="2" t="s">
        <v>528</v>
      </c>
      <c r="C67" s="2" t="s">
        <v>50</v>
      </c>
      <c r="D67" s="2"/>
      <c r="E67" s="2" t="s">
        <v>125</v>
      </c>
      <c r="F67" s="2" t="s">
        <v>592</v>
      </c>
      <c r="G67" s="2" t="s">
        <v>597</v>
      </c>
      <c r="H67" s="2" t="s">
        <v>594</v>
      </c>
      <c r="I67" s="2"/>
    </row>
    <row r="68" spans="1:9">
      <c r="A68" s="2" t="s">
        <v>530</v>
      </c>
      <c r="B68" s="2" t="s">
        <v>531</v>
      </c>
      <c r="C68" s="2" t="s">
        <v>50</v>
      </c>
      <c r="D68" s="2"/>
      <c r="E68" s="2" t="s">
        <v>125</v>
      </c>
      <c r="F68" s="2" t="s">
        <v>592</v>
      </c>
      <c r="G68" s="2" t="s">
        <v>597</v>
      </c>
      <c r="H68" s="2" t="s">
        <v>594</v>
      </c>
      <c r="I68" s="2"/>
    </row>
    <row r="69" spans="1:9">
      <c r="A69" s="2" t="s">
        <v>534</v>
      </c>
      <c r="B69" s="2" t="s">
        <v>535</v>
      </c>
      <c r="C69" s="2" t="s">
        <v>50</v>
      </c>
      <c r="D69" s="2"/>
      <c r="E69" s="2" t="s">
        <v>125</v>
      </c>
      <c r="F69" s="2" t="s">
        <v>592</v>
      </c>
      <c r="G69" s="2" t="s">
        <v>600</v>
      </c>
      <c r="H69" s="2" t="s">
        <v>594</v>
      </c>
      <c r="I69" s="2"/>
    </row>
    <row r="70" spans="1:9" ht="27">
      <c r="A70" s="2" t="s">
        <v>536</v>
      </c>
      <c r="B70" s="2" t="s">
        <v>537</v>
      </c>
      <c r="C70" s="2" t="s">
        <v>33</v>
      </c>
      <c r="D70" s="2"/>
      <c r="E70" s="2" t="s">
        <v>125</v>
      </c>
      <c r="F70" s="2" t="s">
        <v>592</v>
      </c>
      <c r="G70" s="2" t="s">
        <v>597</v>
      </c>
      <c r="H70" s="2" t="s">
        <v>594</v>
      </c>
      <c r="I70" s="2"/>
    </row>
    <row r="71" spans="1:9">
      <c r="A71" s="2" t="s">
        <v>541</v>
      </c>
      <c r="B71" s="2" t="s">
        <v>542</v>
      </c>
      <c r="C71" s="2" t="s">
        <v>50</v>
      </c>
      <c r="D71" s="2"/>
      <c r="E71" s="2" t="s">
        <v>125</v>
      </c>
      <c r="F71" s="2" t="s">
        <v>592</v>
      </c>
      <c r="G71" s="2" t="s">
        <v>597</v>
      </c>
      <c r="H71" s="2" t="s">
        <v>594</v>
      </c>
      <c r="I71" s="2"/>
    </row>
    <row r="72" spans="1:9">
      <c r="A72" s="2" t="s">
        <v>546</v>
      </c>
      <c r="B72" s="2" t="s">
        <v>547</v>
      </c>
      <c r="C72" s="2" t="s">
        <v>33</v>
      </c>
      <c r="D72" s="2"/>
      <c r="E72" s="2" t="s">
        <v>125</v>
      </c>
      <c r="F72" s="2" t="s">
        <v>592</v>
      </c>
      <c r="G72" s="2" t="s">
        <v>597</v>
      </c>
      <c r="H72" s="2" t="s">
        <v>594</v>
      </c>
      <c r="I72" s="2"/>
    </row>
    <row r="73" spans="1:9">
      <c r="A73" s="2" t="s">
        <v>548</v>
      </c>
      <c r="B73" s="2" t="s">
        <v>550</v>
      </c>
      <c r="C73" s="2" t="s">
        <v>28</v>
      </c>
      <c r="D73" s="2"/>
      <c r="E73" s="2" t="s">
        <v>125</v>
      </c>
      <c r="F73" s="2" t="s">
        <v>592</v>
      </c>
      <c r="G73" s="2" t="s">
        <v>601</v>
      </c>
      <c r="H73" s="2" t="s">
        <v>594</v>
      </c>
      <c r="I73" s="2"/>
    </row>
    <row r="74" spans="1:9">
      <c r="A74" s="2" t="s">
        <v>560</v>
      </c>
      <c r="B74" s="2" t="s">
        <v>561</v>
      </c>
      <c r="C74" s="2" t="s">
        <v>22</v>
      </c>
      <c r="D74" s="2" t="s">
        <v>211</v>
      </c>
      <c r="E74" s="2" t="s">
        <v>125</v>
      </c>
      <c r="F74" s="2" t="s">
        <v>592</v>
      </c>
      <c r="G74" s="2" t="s">
        <v>595</v>
      </c>
      <c r="H74" s="2" t="s">
        <v>594</v>
      </c>
      <c r="I74" s="2"/>
    </row>
    <row r="75" spans="1:9" ht="27">
      <c r="A75" s="2" t="s">
        <v>563</v>
      </c>
      <c r="B75" s="2" t="s">
        <v>564</v>
      </c>
      <c r="C75" s="2" t="s">
        <v>50</v>
      </c>
      <c r="D75" s="2" t="s">
        <v>567</v>
      </c>
      <c r="E75" s="2" t="s">
        <v>125</v>
      </c>
      <c r="F75" s="2" t="s">
        <v>592</v>
      </c>
      <c r="G75" s="2" t="s">
        <v>602</v>
      </c>
      <c r="H75" s="2" t="s">
        <v>594</v>
      </c>
      <c r="I75" s="2"/>
    </row>
    <row r="76" spans="1:9" ht="27">
      <c r="A76" s="2" t="s">
        <v>569</v>
      </c>
      <c r="B76" s="2" t="s">
        <v>564</v>
      </c>
      <c r="C76" s="2" t="s">
        <v>50</v>
      </c>
      <c r="D76" s="2" t="s">
        <v>567</v>
      </c>
      <c r="E76" s="2" t="s">
        <v>125</v>
      </c>
      <c r="F76" s="2" t="s">
        <v>592</v>
      </c>
      <c r="G76" s="2" t="s">
        <v>602</v>
      </c>
      <c r="H76" s="2" t="s">
        <v>594</v>
      </c>
      <c r="I76" s="2"/>
    </row>
    <row r="77" spans="1:9">
      <c r="A77" s="2" t="s">
        <v>570</v>
      </c>
      <c r="B77" s="2" t="s">
        <v>571</v>
      </c>
      <c r="C77" s="2" t="s">
        <v>28</v>
      </c>
      <c r="D77" s="2"/>
      <c r="E77" s="2" t="s">
        <v>125</v>
      </c>
      <c r="F77" s="2" t="s">
        <v>592</v>
      </c>
      <c r="G77" s="2" t="s">
        <v>600</v>
      </c>
      <c r="H77" s="2" t="s">
        <v>594</v>
      </c>
      <c r="I77" s="2"/>
    </row>
    <row r="78" spans="1:9">
      <c r="A78" s="2" t="s">
        <v>578</v>
      </c>
      <c r="B78" s="2" t="s">
        <v>579</v>
      </c>
      <c r="C78" s="2" t="s">
        <v>28</v>
      </c>
      <c r="D78" s="2"/>
      <c r="E78" s="2" t="s">
        <v>125</v>
      </c>
      <c r="F78" s="2" t="s">
        <v>592</v>
      </c>
      <c r="G78" s="2" t="s">
        <v>600</v>
      </c>
      <c r="H78" s="2" t="s">
        <v>594</v>
      </c>
      <c r="I78" s="2"/>
    </row>
  </sheetData>
  <phoneticPr fontId="5" type="noConversion"/>
  <dataValidations count="1">
    <dataValidation type="list" sqref="H2:H78" xr:uid="{00000000-0002-0000-0500-000000000000}">
      <formula1>"미정,채택,보류,후순위,제외(후단계)"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3.5"/>
  <cols>
    <col min="1" max="1" width="34" customWidth="1"/>
    <col min="2" max="2" width="78" customWidth="1"/>
    <col min="3" max="3" width="55" customWidth="1"/>
  </cols>
  <sheetData>
    <row r="1" spans="1:3" ht="13.9">
      <c r="A1" s="5" t="s">
        <v>603</v>
      </c>
      <c r="B1" s="5" t="s">
        <v>604</v>
      </c>
      <c r="C1" s="5" t="s">
        <v>605</v>
      </c>
    </row>
    <row r="2" spans="1:3" ht="40.5">
      <c r="A2" s="2" t="s">
        <v>606</v>
      </c>
      <c r="B2" s="2" t="s">
        <v>607</v>
      </c>
      <c r="C2" s="2" t="s">
        <v>576</v>
      </c>
    </row>
    <row r="3" spans="1:3" ht="27">
      <c r="A3" s="2" t="s">
        <v>608</v>
      </c>
      <c r="B3" s="2" t="s">
        <v>609</v>
      </c>
      <c r="C3" s="2" t="s">
        <v>610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동인분류_가이드</vt:lpstr>
      <vt:lpstr>Variable_Master</vt:lpstr>
      <vt:lpstr>Driver_Map</vt:lpstr>
      <vt:lpstr>Source_Inventory</vt:lpstr>
      <vt:lpstr>Selection_Log</vt:lpstr>
      <vt:lpstr>Research_Notes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</dc:creator>
  <cp:lastModifiedBy>노경수</cp:lastModifiedBy>
  <dcterms:created xsi:type="dcterms:W3CDTF">2026-09-28T10:06:09Z</dcterms:created>
  <dcterms:modified xsi:type="dcterms:W3CDTF">2026-09-29T01:16:29Z</dcterms:modified>
</cp:coreProperties>
</file>